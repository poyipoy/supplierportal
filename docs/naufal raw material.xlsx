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1. PRAKERIN ADASI\ADASI\"/>
    </mc:Choice>
  </mc:AlternateContent>
  <xr:revisionPtr revIDLastSave="0" documentId="13_ncr:1_{51691E89-60D4-4EE2-A50C-3AD4905247BB}" xr6:coauthVersionLast="47" xr6:coauthVersionMax="47" xr10:uidLastSave="{00000000-0000-0000-0000-000000000000}"/>
  <bookViews>
    <workbookView xWindow="-108" yWindow="-108" windowWidth="23256" windowHeight="12456" activeTab="4" xr2:uid="{3B6248A2-F1DF-4D7B-A33F-B8BAC70D5D4E}"/>
  </bookViews>
  <sheets>
    <sheet name="Sheet2" sheetId="2" r:id="rId1"/>
    <sheet name="Backup Kriteria" sheetId="3" r:id="rId2"/>
    <sheet name="backup master material" sheetId="5" r:id="rId3"/>
    <sheet name="master material" sheetId="1" r:id="rId4"/>
    <sheet name="Penentuan HS Code" sheetId="6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4" i="6"/>
  <c r="H65" i="1"/>
  <c r="H6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Jesica</author>
  </authors>
  <commentList>
    <comment ref="A56" authorId="0" shapeId="0" xr:uid="{07E016A6-4492-4CEB-8810-D2CB98AFDD78}">
      <text>
        <r>
          <rPr>
            <sz val="9"/>
            <color indexed="81"/>
            <rFont val="宋体"/>
            <charset val="134"/>
          </rPr>
          <t>Jesica:
Dural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Jesica</author>
  </authors>
  <commentList>
    <comment ref="A56" authorId="0" shapeId="0" xr:uid="{F7E8FA00-B304-4090-8D66-058394F7776A}">
      <text>
        <r>
          <rPr>
            <sz val="9"/>
            <color indexed="81"/>
            <rFont val="宋体"/>
            <charset val="134"/>
          </rPr>
          <t>Jesica:
Dural</t>
        </r>
      </text>
    </comment>
  </commentList>
</comments>
</file>

<file path=xl/sharedStrings.xml><?xml version="1.0" encoding="utf-8"?>
<sst xmlns="http://schemas.openxmlformats.org/spreadsheetml/2006/main" count="1071" uniqueCount="187">
  <si>
    <t>Material</t>
  </si>
  <si>
    <t>Keterangan</t>
  </si>
  <si>
    <t>Daido/Non</t>
  </si>
  <si>
    <t>Cold Work Tool Steel</t>
  </si>
  <si>
    <t>YK30</t>
  </si>
  <si>
    <t>Tool Steel</t>
  </si>
  <si>
    <t>Daido</t>
  </si>
  <si>
    <t>YK4</t>
  </si>
  <si>
    <t>GOA</t>
  </si>
  <si>
    <t>GO40F</t>
  </si>
  <si>
    <t>GO5</t>
  </si>
  <si>
    <t>GO4</t>
  </si>
  <si>
    <t>DC11</t>
  </si>
  <si>
    <t>DC53</t>
  </si>
  <si>
    <t>DCMX</t>
  </si>
  <si>
    <t>SKD11</t>
  </si>
  <si>
    <t>Non</t>
  </si>
  <si>
    <t>Hot Work Tool Steel</t>
  </si>
  <si>
    <t>GFA</t>
  </si>
  <si>
    <t>DH32</t>
  </si>
  <si>
    <t>DH62</t>
  </si>
  <si>
    <t>DHA</t>
  </si>
  <si>
    <t>DHA1</t>
  </si>
  <si>
    <t>DHAW</t>
  </si>
  <si>
    <t>DH31EX</t>
  </si>
  <si>
    <t>DH31S</t>
  </si>
  <si>
    <t>DHAT</t>
  </si>
  <si>
    <t>DHA1A</t>
  </si>
  <si>
    <t>DH2F</t>
  </si>
  <si>
    <t>DHA1ES</t>
  </si>
  <si>
    <t>CND</t>
  </si>
  <si>
    <t>DHA1E</t>
  </si>
  <si>
    <t>DH31</t>
  </si>
  <si>
    <t>DH31S2</t>
  </si>
  <si>
    <t>DHAC</t>
  </si>
  <si>
    <t>RT90</t>
  </si>
  <si>
    <t>SKT4</t>
  </si>
  <si>
    <t>SKD61</t>
  </si>
  <si>
    <t>High Speed Tool Steel</t>
  </si>
  <si>
    <t>MH51</t>
  </si>
  <si>
    <t>MH55</t>
  </si>
  <si>
    <t>MH85</t>
  </si>
  <si>
    <t>DRM1</t>
  </si>
  <si>
    <t>DRM2</t>
  </si>
  <si>
    <t>DRM3</t>
  </si>
  <si>
    <t>SKH9</t>
  </si>
  <si>
    <t>Powder High Speed Tool Steel</t>
  </si>
  <si>
    <t>DEX20</t>
  </si>
  <si>
    <t>Other</t>
  </si>
  <si>
    <t>DEX40</t>
  </si>
  <si>
    <t>Plastic Mould Tool Steel</t>
  </si>
  <si>
    <t>PX4</t>
  </si>
  <si>
    <t>PAC5000</t>
  </si>
  <si>
    <t>NAK80</t>
  </si>
  <si>
    <t>S-Star</t>
  </si>
  <si>
    <t>PX5</t>
  </si>
  <si>
    <t>PXA30</t>
  </si>
  <si>
    <t>HP4MA</t>
  </si>
  <si>
    <t>P20</t>
  </si>
  <si>
    <t>1.2316</t>
  </si>
  <si>
    <t>1.2738</t>
  </si>
  <si>
    <t>Aluminium 7075</t>
  </si>
  <si>
    <t>Aluminium 6061</t>
  </si>
  <si>
    <t>Aluminium 5052</t>
  </si>
  <si>
    <t>Aluminium 1100</t>
  </si>
  <si>
    <t>SPD86K</t>
  </si>
  <si>
    <t>Machinery Steel</t>
  </si>
  <si>
    <t>S45C</t>
  </si>
  <si>
    <t>Carbon Steel</t>
  </si>
  <si>
    <t>S50C</t>
  </si>
  <si>
    <t>S55C</t>
  </si>
  <si>
    <t>SCM447</t>
  </si>
  <si>
    <t>SCM440H</t>
  </si>
  <si>
    <t>SNCM439</t>
  </si>
  <si>
    <t>SNCM447</t>
  </si>
  <si>
    <t>SCM440Q</t>
  </si>
  <si>
    <t>SCM440</t>
  </si>
  <si>
    <t>SNCM439Q</t>
  </si>
  <si>
    <t>Others</t>
  </si>
  <si>
    <t>SK5</t>
  </si>
  <si>
    <t>F3RV</t>
  </si>
  <si>
    <t>BECU</t>
  </si>
  <si>
    <t>SUS 304</t>
  </si>
  <si>
    <t>Kuningan</t>
  </si>
  <si>
    <t>Tembaga C1100</t>
  </si>
  <si>
    <t>SS400</t>
  </si>
  <si>
    <t>SUJ2</t>
  </si>
  <si>
    <t>Mn13</t>
  </si>
  <si>
    <t>Tembaga</t>
  </si>
  <si>
    <t>ST52</t>
  </si>
  <si>
    <t>Honedtube</t>
  </si>
  <si>
    <t>ST60</t>
  </si>
  <si>
    <t>Welding Rod</t>
  </si>
  <si>
    <t>MAS1C</t>
  </si>
  <si>
    <t>DHW</t>
  </si>
  <si>
    <t>PX5W</t>
  </si>
  <si>
    <t>DM</t>
  </si>
  <si>
    <t>NAKW</t>
  </si>
  <si>
    <t>New</t>
  </si>
  <si>
    <t>HARDOX 500</t>
  </si>
  <si>
    <t>PAK90</t>
  </si>
  <si>
    <t>YXM1</t>
  </si>
  <si>
    <t>alumunium flat</t>
  </si>
  <si>
    <t>alumunium Round</t>
  </si>
  <si>
    <t>1.2316 Flat</t>
  </si>
  <si>
    <t>1.2316 Round</t>
  </si>
  <si>
    <t>Sus304</t>
  </si>
  <si>
    <t>https://insw.go.id/intr</t>
  </si>
  <si>
    <t>No</t>
  </si>
  <si>
    <t>HS Code</t>
  </si>
  <si>
    <t>Kategori Material</t>
  </si>
  <si>
    <t>Bentuk Barang</t>
  </si>
  <si>
    <t>Proses</t>
  </si>
  <si>
    <t>Grade</t>
  </si>
  <si>
    <t>Dimensi / Size</t>
  </si>
  <si>
    <t>Negara Asal</t>
  </si>
  <si>
    <t>Negara Muat</t>
  </si>
  <si>
    <t>Pelabuhan Tujuan</t>
  </si>
  <si>
    <t>7228.10.10</t>
  </si>
  <si>
    <t>High Speed Steel</t>
  </si>
  <si>
    <t>Round Bar</t>
  </si>
  <si>
    <t>—</t>
  </si>
  <si>
    <t>Tool Steel as per Daido Brand Specification atau JIS Standard</t>
  </si>
  <si>
    <t>Diameter ≥ 10 mm</t>
  </si>
  <si>
    <t>Jepang, Korea Selatan, China, Thailand, Singapura, Malaysia, Vietnam, Slovenia, Germany, Italia, Taiwan, India, Sweden, Polandia, Rusia, Ukraina, Perancis, Austria, Luxembourg</t>
  </si>
  <si>
    <t>Sama dengan Negara Asal</t>
  </si>
  <si>
    <t>Tanjung Priok</t>
  </si>
  <si>
    <t>7228.30.10</t>
  </si>
  <si>
    <t>Alloy Steel</t>
  </si>
  <si>
    <t>Rolled</t>
  </si>
  <si>
    <t>10 mm ≤ Diameter ≤ 165 mm</t>
  </si>
  <si>
    <t>Tanjung Perak</t>
  </si>
  <si>
    <t>7226.91.90</t>
  </si>
  <si>
    <t>Flat Rolled</t>
  </si>
  <si>
    <t>10 mm ≤ Thickness ≤ 135 mm; 400 mm &lt; Width &lt; 600 mm</t>
  </si>
  <si>
    <t>Daftar negara sesuai dokumen</t>
  </si>
  <si>
    <t>Sama</t>
  </si>
  <si>
    <t>3 mm ≤ Thickness ≤ 135 mm; 400 mm &lt; Width &lt; 600 mm</t>
  </si>
  <si>
    <t>7228.40.90</t>
  </si>
  <si>
    <t>Flat Bar</t>
  </si>
  <si>
    <t>Forged</t>
  </si>
  <si>
    <t>Thickness &gt; 135 mm</t>
  </si>
  <si>
    <t>7228.40.10</t>
  </si>
  <si>
    <t>Diameter &gt; 165 mm</t>
  </si>
  <si>
    <t>7225.40.90</t>
  </si>
  <si>
    <t>3 mm ≤ Thickness ≤ 135 mm; Width ≥ 600 mm</t>
  </si>
  <si>
    <t>7228.30.90</t>
  </si>
  <si>
    <t>10 mm ≤ Thickness ≤ 135 mm; Width ≤ 150 mm</t>
  </si>
  <si>
    <t>7226.91.10</t>
  </si>
  <si>
    <t>Flat Rolled (Strip)</t>
  </si>
  <si>
    <t>3 mm ≤ Thickness ≤ 135 mm; 150 mm &lt; Width ≤ 400 mm</t>
  </si>
  <si>
    <t>7226.20.10</t>
  </si>
  <si>
    <t>Thickness ≥ 10 mm; 150 mm &lt; Width ≤ 400 mm</t>
  </si>
  <si>
    <t>7214.99.92</t>
  </si>
  <si>
    <t>S35C, S45C, S50C, S55C</t>
  </si>
  <si>
    <t>16 mm ≤ Diameter &lt; 250 mm; Length &gt; 2000 mm</t>
  </si>
  <si>
    <t>7208.51.00</t>
  </si>
  <si>
    <t>S35C, S45C, S50C, S55C, SS400, Q235, A3, WEARPLATE</t>
  </si>
  <si>
    <t>Thickness &gt; 10 mm; Width &gt; 600 mm</t>
  </si>
  <si>
    <t>7214.10.11</t>
  </si>
  <si>
    <t>Diameter ≥ 250 mm; Length &gt; 2000 mm</t>
  </si>
  <si>
    <t>7214.10.19</t>
  </si>
  <si>
    <t>S35C, S45C, S50C, S55C, SS400, Q235, A3</t>
  </si>
  <si>
    <t>Thickness ≥ 250 mm; Width &gt; 600 mm</t>
  </si>
  <si>
    <t>7304.31.90</t>
  </si>
  <si>
    <t>Honed Tube Steel</t>
  </si>
  <si>
    <t>Tube</t>
  </si>
  <si>
    <t>ST52, Q345D</t>
  </si>
  <si>
    <t>Outer Diameter ≥ 140 mm; Inner Diameter &gt; 50 mm</t>
  </si>
  <si>
    <t>7304.31.40</t>
  </si>
  <si>
    <t>7211.29.20</t>
  </si>
  <si>
    <t>Strip Steel</t>
  </si>
  <si>
    <t>Strip</t>
  </si>
  <si>
    <t>Width ≤ 400 mm</t>
  </si>
  <si>
    <t>7304.51.90</t>
  </si>
  <si>
    <t>Hollow</t>
  </si>
  <si>
    <t>Cold Drawn</t>
  </si>
  <si>
    <t>Outer Diameter &gt; 165 mm; Inner Diameter &gt; 135 mm</t>
  </si>
  <si>
    <t>7304.59.90</t>
  </si>
  <si>
    <t>Hot Drawn</t>
  </si>
  <si>
    <t>7208.52.00</t>
  </si>
  <si>
    <t>4.75 mm ≤ Thickness ≤ 10 mm; Width &gt; 600 mm</t>
  </si>
  <si>
    <t>7208.53.00</t>
  </si>
  <si>
    <t>3 mm ≤ Thickness &lt; 4.75 mm; Width &gt; 600 mm</t>
  </si>
  <si>
    <t>Round</t>
  </si>
  <si>
    <t>Flat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</si>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</sst>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9"/>
      <color indexed="81"/>
      <name val="宋体"/>
      <charset val="134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/>
    </xf>
    <xf numFmtId="0" fontId="3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5" borderId="0" xfId="0" quotePrefix="1" applyFont="1" applyFill="1" applyAlignment="1">
      <alignment horizontal="center"/>
    </xf>
    <xf numFmtId="0" fontId="6" fillId="6" borderId="0" xfId="1" applyFont="1" applyFill="1" applyAlignment="1">
      <alignment horizontal="left"/>
    </xf>
    <xf numFmtId="0" fontId="3" fillId="7" borderId="0" xfId="0" applyFont="1" applyFill="1" applyAlignment="1">
      <alignment horizontal="center"/>
    </xf>
    <xf numFmtId="0" fontId="0" fillId="7" borderId="1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6" fillId="7" borderId="0" xfId="1" applyFont="1" applyFill="1" applyAlignment="1">
      <alignment horizontal="center"/>
    </xf>
    <xf numFmtId="0" fontId="0" fillId="7" borderId="0" xfId="0" applyFill="1" applyAlignment="1">
      <alignment vertical="center"/>
    </xf>
    <xf numFmtId="0" fontId="8" fillId="0" borderId="0" xfId="2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/>
    <xf numFmtId="0" fontId="0" fillId="0" borderId="1" xfId="0" applyBorder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3">
    <cellStyle name="Hipertaut" xfId="2" builtinId="8"/>
    <cellStyle name="Normal" xfId="0" builtinId="0"/>
    <cellStyle name="Normal 2" xfId="1" xr:uid="{0361B56E-BCB8-44B7-8427-D21F5E0D0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w.go.id/in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38BE-DAB2-44CE-8A3A-188A8B982F02}">
  <dimension ref="A1:D7"/>
  <sheetViews>
    <sheetView zoomScale="106" workbookViewId="0">
      <selection activeCell="B20" sqref="B20"/>
    </sheetView>
  </sheetViews>
  <sheetFormatPr defaultRowHeight="14.4"/>
  <cols>
    <col min="1" max="1" width="16.33203125" bestFit="1" customWidth="1"/>
  </cols>
  <sheetData>
    <row r="1" spans="1:4">
      <c r="A1" t="s">
        <v>102</v>
      </c>
      <c r="B1">
        <v>760612</v>
      </c>
      <c r="C1">
        <v>721921</v>
      </c>
    </row>
    <row r="2" spans="1:4">
      <c r="A2" t="s">
        <v>103</v>
      </c>
      <c r="B2">
        <v>722211</v>
      </c>
    </row>
    <row r="3" spans="1:4">
      <c r="A3" t="s">
        <v>104</v>
      </c>
      <c r="B3">
        <v>760612</v>
      </c>
      <c r="C3">
        <v>721921</v>
      </c>
    </row>
    <row r="4" spans="1:4">
      <c r="A4" t="s">
        <v>105</v>
      </c>
      <c r="B4">
        <v>722211</v>
      </c>
    </row>
    <row r="5" spans="1:4">
      <c r="A5" t="s">
        <v>106</v>
      </c>
      <c r="B5">
        <v>722011</v>
      </c>
      <c r="C5">
        <v>760612</v>
      </c>
      <c r="D5">
        <v>721921</v>
      </c>
    </row>
    <row r="7" spans="1:4">
      <c r="A7" s="16" t="s">
        <v>107</v>
      </c>
    </row>
  </sheetData>
  <hyperlinks>
    <hyperlink ref="A7" r:id="rId1" xr:uid="{4CA85973-36E9-4ACD-ADAE-574A0D03A8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D5A6-44AC-4C7D-B6D7-B4CFA533081D}">
  <dimension ref="C3:N33"/>
  <sheetViews>
    <sheetView topLeftCell="A9" zoomScale="94" zoomScaleNormal="85" workbookViewId="0">
      <selection activeCell="H25" sqref="H25"/>
    </sheetView>
  </sheetViews>
  <sheetFormatPr defaultRowHeight="14.4"/>
  <cols>
    <col min="4" max="4" width="11" bestFit="1" customWidth="1"/>
    <col min="5" max="5" width="17.6640625" bestFit="1" customWidth="1"/>
    <col min="6" max="6" width="17.33203125" bestFit="1" customWidth="1"/>
    <col min="7" max="7" width="11.77734375" bestFit="1" customWidth="1"/>
    <col min="8" max="8" width="58.77734375" bestFit="1" customWidth="1"/>
    <col min="9" max="9" width="55.5546875" bestFit="1" customWidth="1"/>
    <col min="10" max="10" width="40.21875" customWidth="1"/>
    <col min="11" max="11" width="25.44140625" bestFit="1" customWidth="1"/>
    <col min="12" max="12" width="24.5546875" customWidth="1"/>
    <col min="14" max="14" width="134.6640625" customWidth="1"/>
  </cols>
  <sheetData>
    <row r="3" spans="3:14" ht="15.6">
      <c r="C3" s="17" t="s">
        <v>108</v>
      </c>
      <c r="D3" s="17" t="s">
        <v>109</v>
      </c>
      <c r="E3" s="17" t="s">
        <v>110</v>
      </c>
      <c r="F3" s="17" t="s">
        <v>111</v>
      </c>
      <c r="G3" s="17" t="s">
        <v>112</v>
      </c>
      <c r="H3" s="17" t="s">
        <v>113</v>
      </c>
      <c r="I3" s="17" t="s">
        <v>114</v>
      </c>
      <c r="J3" s="17" t="s">
        <v>115</v>
      </c>
      <c r="K3" s="17" t="s">
        <v>116</v>
      </c>
      <c r="L3" s="17" t="s">
        <v>117</v>
      </c>
      <c r="N3" s="20"/>
    </row>
    <row r="4" spans="3:14" ht="15.6">
      <c r="C4" s="18">
        <v>1</v>
      </c>
      <c r="D4" s="18" t="s">
        <v>118</v>
      </c>
      <c r="E4" s="19" t="s">
        <v>119</v>
      </c>
      <c r="F4" s="19" t="s">
        <v>120</v>
      </c>
      <c r="G4" s="19" t="s">
        <v>121</v>
      </c>
      <c r="H4" s="19" t="s">
        <v>122</v>
      </c>
      <c r="I4" s="19" t="s">
        <v>123</v>
      </c>
      <c r="J4" s="19" t="s">
        <v>124</v>
      </c>
      <c r="K4" s="19" t="s">
        <v>125</v>
      </c>
      <c r="L4" s="19" t="s">
        <v>126</v>
      </c>
      <c r="N4" s="20"/>
    </row>
    <row r="5" spans="3:14" ht="15.6">
      <c r="C5" s="18">
        <v>2</v>
      </c>
      <c r="D5" s="18" t="s">
        <v>127</v>
      </c>
      <c r="E5" s="19" t="s">
        <v>128</v>
      </c>
      <c r="F5" s="19" t="s">
        <v>120</v>
      </c>
      <c r="G5" s="19" t="s">
        <v>129</v>
      </c>
      <c r="H5" s="19" t="s">
        <v>122</v>
      </c>
      <c r="I5" s="19" t="s">
        <v>130</v>
      </c>
      <c r="J5" s="19" t="s">
        <v>124</v>
      </c>
      <c r="K5" s="19" t="s">
        <v>125</v>
      </c>
      <c r="L5" s="19" t="s">
        <v>126</v>
      </c>
      <c r="N5" s="20"/>
    </row>
    <row r="6" spans="3:14" ht="15.6">
      <c r="C6" s="18">
        <v>3</v>
      </c>
      <c r="D6" s="18" t="s">
        <v>127</v>
      </c>
      <c r="E6" s="19" t="s">
        <v>128</v>
      </c>
      <c r="F6" s="19" t="s">
        <v>120</v>
      </c>
      <c r="G6" s="19" t="s">
        <v>129</v>
      </c>
      <c r="H6" s="19" t="s">
        <v>122</v>
      </c>
      <c r="I6" s="19" t="s">
        <v>130</v>
      </c>
      <c r="J6" s="19" t="s">
        <v>124</v>
      </c>
      <c r="K6" s="19" t="s">
        <v>125</v>
      </c>
      <c r="L6" s="19" t="s">
        <v>131</v>
      </c>
      <c r="N6" s="20"/>
    </row>
    <row r="7" spans="3:14" ht="15.6">
      <c r="C7" s="18">
        <v>4</v>
      </c>
      <c r="D7" s="18" t="s">
        <v>132</v>
      </c>
      <c r="E7" s="19" t="s">
        <v>128</v>
      </c>
      <c r="F7" s="19" t="s">
        <v>133</v>
      </c>
      <c r="G7" s="19" t="s">
        <v>129</v>
      </c>
      <c r="H7" s="19" t="s">
        <v>122</v>
      </c>
      <c r="I7" s="19" t="s">
        <v>134</v>
      </c>
      <c r="J7" s="19" t="s">
        <v>135</v>
      </c>
      <c r="K7" s="19" t="s">
        <v>136</v>
      </c>
      <c r="L7" s="19" t="s">
        <v>126</v>
      </c>
      <c r="N7" s="20"/>
    </row>
    <row r="8" spans="3:14" ht="15.6">
      <c r="C8" s="18">
        <v>5</v>
      </c>
      <c r="D8" s="18" t="s">
        <v>132</v>
      </c>
      <c r="E8" s="19" t="s">
        <v>128</v>
      </c>
      <c r="F8" s="19" t="s">
        <v>133</v>
      </c>
      <c r="G8" s="19" t="s">
        <v>129</v>
      </c>
      <c r="H8" s="19" t="s">
        <v>122</v>
      </c>
      <c r="I8" s="19" t="s">
        <v>137</v>
      </c>
      <c r="J8" s="19" t="s">
        <v>135</v>
      </c>
      <c r="K8" s="19" t="s">
        <v>136</v>
      </c>
      <c r="L8" s="19" t="s">
        <v>131</v>
      </c>
      <c r="N8" s="20"/>
    </row>
    <row r="9" spans="3:14" ht="15.6">
      <c r="C9" s="18">
        <v>6</v>
      </c>
      <c r="D9" s="18" t="s">
        <v>138</v>
      </c>
      <c r="E9" s="19" t="s">
        <v>128</v>
      </c>
      <c r="F9" s="19" t="s">
        <v>139</v>
      </c>
      <c r="G9" s="19" t="s">
        <v>140</v>
      </c>
      <c r="H9" s="19" t="s">
        <v>122</v>
      </c>
      <c r="I9" s="19" t="s">
        <v>141</v>
      </c>
      <c r="J9" s="19" t="s">
        <v>135</v>
      </c>
      <c r="K9" s="19" t="s">
        <v>136</v>
      </c>
      <c r="L9" s="19" t="s">
        <v>126</v>
      </c>
      <c r="N9" s="20"/>
    </row>
    <row r="10" spans="3:14" ht="15.6">
      <c r="C10" s="18">
        <v>7</v>
      </c>
      <c r="D10" s="18" t="s">
        <v>138</v>
      </c>
      <c r="E10" s="19" t="s">
        <v>128</v>
      </c>
      <c r="F10" s="19" t="s">
        <v>139</v>
      </c>
      <c r="G10" s="19" t="s">
        <v>140</v>
      </c>
      <c r="H10" s="19" t="s">
        <v>122</v>
      </c>
      <c r="I10" s="19" t="s">
        <v>141</v>
      </c>
      <c r="J10" s="19" t="s">
        <v>135</v>
      </c>
      <c r="K10" s="19" t="s">
        <v>136</v>
      </c>
      <c r="L10" s="19" t="s">
        <v>131</v>
      </c>
      <c r="N10" s="20"/>
    </row>
    <row r="11" spans="3:14" ht="15.6">
      <c r="C11" s="18">
        <v>8</v>
      </c>
      <c r="D11" s="18" t="s">
        <v>142</v>
      </c>
      <c r="E11" s="19" t="s">
        <v>128</v>
      </c>
      <c r="F11" s="19" t="s">
        <v>120</v>
      </c>
      <c r="G11" s="19" t="s">
        <v>140</v>
      </c>
      <c r="H11" s="19" t="s">
        <v>122</v>
      </c>
      <c r="I11" s="19" t="s">
        <v>143</v>
      </c>
      <c r="J11" s="19" t="s">
        <v>135</v>
      </c>
      <c r="K11" s="19" t="s">
        <v>136</v>
      </c>
      <c r="L11" s="19" t="s">
        <v>126</v>
      </c>
      <c r="N11" s="20"/>
    </row>
    <row r="12" spans="3:14" ht="15.6">
      <c r="C12" s="18">
        <v>9</v>
      </c>
      <c r="D12" s="18" t="s">
        <v>142</v>
      </c>
      <c r="E12" s="19" t="s">
        <v>128</v>
      </c>
      <c r="F12" s="19" t="s">
        <v>120</v>
      </c>
      <c r="G12" s="19" t="s">
        <v>140</v>
      </c>
      <c r="H12" s="19" t="s">
        <v>122</v>
      </c>
      <c r="I12" s="19" t="s">
        <v>143</v>
      </c>
      <c r="J12" s="19" t="s">
        <v>135</v>
      </c>
      <c r="K12" s="19" t="s">
        <v>136</v>
      </c>
      <c r="L12" s="19" t="s">
        <v>131</v>
      </c>
      <c r="N12" s="20"/>
    </row>
    <row r="13" spans="3:14" ht="15.6">
      <c r="C13" s="18">
        <v>10</v>
      </c>
      <c r="D13" s="18" t="s">
        <v>144</v>
      </c>
      <c r="E13" s="19" t="s">
        <v>128</v>
      </c>
      <c r="F13" s="19" t="s">
        <v>133</v>
      </c>
      <c r="G13" s="19" t="s">
        <v>129</v>
      </c>
      <c r="H13" s="19" t="s">
        <v>122</v>
      </c>
      <c r="I13" s="19" t="s">
        <v>145</v>
      </c>
      <c r="J13" s="19" t="s">
        <v>135</v>
      </c>
      <c r="K13" s="19" t="s">
        <v>136</v>
      </c>
      <c r="L13" s="19" t="s">
        <v>126</v>
      </c>
      <c r="N13" s="20"/>
    </row>
    <row r="14" spans="3:14" ht="15.6">
      <c r="C14" s="18">
        <v>11</v>
      </c>
      <c r="D14" s="18" t="s">
        <v>144</v>
      </c>
      <c r="E14" s="19" t="s">
        <v>128</v>
      </c>
      <c r="F14" s="19" t="s">
        <v>133</v>
      </c>
      <c r="G14" s="19" t="s">
        <v>129</v>
      </c>
      <c r="H14" s="19" t="s">
        <v>122</v>
      </c>
      <c r="I14" s="19" t="s">
        <v>145</v>
      </c>
      <c r="J14" s="19" t="s">
        <v>135</v>
      </c>
      <c r="K14" s="19" t="s">
        <v>136</v>
      </c>
      <c r="L14" s="19" t="s">
        <v>131</v>
      </c>
      <c r="N14" s="20"/>
    </row>
    <row r="15" spans="3:14" ht="15.6">
      <c r="C15" s="18">
        <v>12</v>
      </c>
      <c r="D15" s="18" t="s">
        <v>146</v>
      </c>
      <c r="E15" s="19" t="s">
        <v>128</v>
      </c>
      <c r="F15" s="19" t="s">
        <v>139</v>
      </c>
      <c r="G15" s="19" t="s">
        <v>129</v>
      </c>
      <c r="H15" s="19" t="s">
        <v>122</v>
      </c>
      <c r="I15" s="19" t="s">
        <v>147</v>
      </c>
      <c r="J15" s="19" t="s">
        <v>135</v>
      </c>
      <c r="K15" s="19" t="s">
        <v>136</v>
      </c>
      <c r="L15" s="19" t="s">
        <v>126</v>
      </c>
      <c r="N15" s="20"/>
    </row>
    <row r="16" spans="3:14" ht="15.6">
      <c r="C16" s="18">
        <v>13</v>
      </c>
      <c r="D16" s="18" t="s">
        <v>148</v>
      </c>
      <c r="E16" s="19" t="s">
        <v>128</v>
      </c>
      <c r="F16" s="19" t="s">
        <v>149</v>
      </c>
      <c r="G16" s="19" t="s">
        <v>129</v>
      </c>
      <c r="H16" s="19" t="s">
        <v>122</v>
      </c>
      <c r="I16" s="19" t="s">
        <v>150</v>
      </c>
      <c r="J16" s="19" t="s">
        <v>135</v>
      </c>
      <c r="K16" s="19" t="s">
        <v>136</v>
      </c>
      <c r="L16" s="19" t="s">
        <v>126</v>
      </c>
      <c r="N16" s="20"/>
    </row>
    <row r="17" spans="3:14" ht="15.6">
      <c r="C17" s="18">
        <v>14</v>
      </c>
      <c r="D17" s="18" t="s">
        <v>151</v>
      </c>
      <c r="E17" s="19" t="s">
        <v>119</v>
      </c>
      <c r="F17" s="19" t="s">
        <v>133</v>
      </c>
      <c r="G17" s="19" t="s">
        <v>129</v>
      </c>
      <c r="H17" s="19" t="s">
        <v>122</v>
      </c>
      <c r="I17" s="19" t="s">
        <v>152</v>
      </c>
      <c r="J17" s="19" t="s">
        <v>135</v>
      </c>
      <c r="K17" s="19" t="s">
        <v>136</v>
      </c>
      <c r="L17" s="19" t="s">
        <v>126</v>
      </c>
      <c r="N17" s="20"/>
    </row>
    <row r="18" spans="3:14" ht="15.6">
      <c r="C18" s="18">
        <v>15</v>
      </c>
      <c r="D18" s="18" t="s">
        <v>153</v>
      </c>
      <c r="E18" s="19" t="s">
        <v>68</v>
      </c>
      <c r="F18" s="19" t="s">
        <v>120</v>
      </c>
      <c r="G18" s="19" t="s">
        <v>121</v>
      </c>
      <c r="H18" s="19" t="s">
        <v>154</v>
      </c>
      <c r="I18" s="19" t="s">
        <v>155</v>
      </c>
      <c r="J18" s="19" t="s">
        <v>135</v>
      </c>
      <c r="K18" s="19" t="s">
        <v>136</v>
      </c>
      <c r="L18" s="19" t="s">
        <v>126</v>
      </c>
      <c r="N18" s="20"/>
    </row>
    <row r="19" spans="3:14" ht="15.6">
      <c r="C19" s="18">
        <v>16</v>
      </c>
      <c r="D19" s="18" t="s">
        <v>153</v>
      </c>
      <c r="E19" s="19" t="s">
        <v>68</v>
      </c>
      <c r="F19" s="19" t="s">
        <v>120</v>
      </c>
      <c r="G19" s="19" t="s">
        <v>121</v>
      </c>
      <c r="H19" s="19" t="s">
        <v>154</v>
      </c>
      <c r="I19" s="19" t="s">
        <v>155</v>
      </c>
      <c r="J19" s="19" t="s">
        <v>135</v>
      </c>
      <c r="K19" s="19" t="s">
        <v>136</v>
      </c>
      <c r="L19" s="19" t="s">
        <v>131</v>
      </c>
      <c r="N19" s="20"/>
    </row>
    <row r="20" spans="3:14" ht="15.6">
      <c r="C20" s="18">
        <v>17</v>
      </c>
      <c r="D20" s="18" t="s">
        <v>156</v>
      </c>
      <c r="E20" s="19" t="s">
        <v>68</v>
      </c>
      <c r="F20" s="19" t="s">
        <v>139</v>
      </c>
      <c r="G20" s="19" t="s">
        <v>121</v>
      </c>
      <c r="H20" s="19" t="s">
        <v>157</v>
      </c>
      <c r="I20" s="19" t="s">
        <v>158</v>
      </c>
      <c r="J20" s="19" t="s">
        <v>135</v>
      </c>
      <c r="K20" s="19" t="s">
        <v>136</v>
      </c>
      <c r="L20" s="19" t="s">
        <v>126</v>
      </c>
      <c r="N20" s="20"/>
    </row>
    <row r="21" spans="3:14" ht="15.6">
      <c r="C21" s="18">
        <v>18</v>
      </c>
      <c r="D21" s="18" t="s">
        <v>156</v>
      </c>
      <c r="E21" s="19" t="s">
        <v>68</v>
      </c>
      <c r="F21" s="19" t="s">
        <v>139</v>
      </c>
      <c r="G21" s="19" t="s">
        <v>121</v>
      </c>
      <c r="H21" s="19" t="s">
        <v>157</v>
      </c>
      <c r="I21" s="19" t="s">
        <v>158</v>
      </c>
      <c r="J21" s="19" t="s">
        <v>135</v>
      </c>
      <c r="K21" s="19" t="s">
        <v>136</v>
      </c>
      <c r="L21" s="19" t="s">
        <v>131</v>
      </c>
      <c r="N21" s="20"/>
    </row>
    <row r="22" spans="3:14" ht="15.6">
      <c r="C22" s="18">
        <v>19</v>
      </c>
      <c r="D22" s="18" t="s">
        <v>159</v>
      </c>
      <c r="E22" s="19" t="s">
        <v>68</v>
      </c>
      <c r="F22" s="19" t="s">
        <v>120</v>
      </c>
      <c r="G22" s="19" t="s">
        <v>140</v>
      </c>
      <c r="H22" s="19" t="s">
        <v>154</v>
      </c>
      <c r="I22" s="19" t="s">
        <v>160</v>
      </c>
      <c r="J22" s="19" t="s">
        <v>135</v>
      </c>
      <c r="K22" s="19" t="s">
        <v>136</v>
      </c>
      <c r="L22" s="19" t="s">
        <v>126</v>
      </c>
      <c r="N22" s="20"/>
    </row>
    <row r="23" spans="3:14" ht="15.6">
      <c r="C23" s="18">
        <v>20</v>
      </c>
      <c r="D23" s="18" t="s">
        <v>159</v>
      </c>
      <c r="E23" s="19" t="s">
        <v>68</v>
      </c>
      <c r="F23" s="19" t="s">
        <v>120</v>
      </c>
      <c r="G23" s="19" t="s">
        <v>140</v>
      </c>
      <c r="H23" s="19" t="s">
        <v>154</v>
      </c>
      <c r="I23" s="19" t="s">
        <v>160</v>
      </c>
      <c r="J23" s="19" t="s">
        <v>135</v>
      </c>
      <c r="K23" s="19" t="s">
        <v>136</v>
      </c>
      <c r="L23" s="19" t="s">
        <v>131</v>
      </c>
      <c r="N23" s="20"/>
    </row>
    <row r="24" spans="3:14" ht="15.6">
      <c r="C24" s="18">
        <v>21</v>
      </c>
      <c r="D24" s="18" t="s">
        <v>161</v>
      </c>
      <c r="E24" s="19" t="s">
        <v>68</v>
      </c>
      <c r="F24" s="19" t="s">
        <v>139</v>
      </c>
      <c r="G24" s="19" t="s">
        <v>140</v>
      </c>
      <c r="H24" s="19" t="s">
        <v>162</v>
      </c>
      <c r="I24" s="19" t="s">
        <v>163</v>
      </c>
      <c r="J24" s="19" t="s">
        <v>135</v>
      </c>
      <c r="K24" s="19" t="s">
        <v>136</v>
      </c>
      <c r="L24" s="19" t="s">
        <v>126</v>
      </c>
      <c r="N24" s="20"/>
    </row>
    <row r="25" spans="3:14" ht="15.6">
      <c r="C25" s="18">
        <v>22</v>
      </c>
      <c r="D25" s="18" t="s">
        <v>164</v>
      </c>
      <c r="E25" s="19" t="s">
        <v>165</v>
      </c>
      <c r="F25" s="19" t="s">
        <v>166</v>
      </c>
      <c r="G25" s="19" t="s">
        <v>121</v>
      </c>
      <c r="H25" s="19" t="s">
        <v>167</v>
      </c>
      <c r="I25" s="19" t="s">
        <v>168</v>
      </c>
      <c r="J25" s="19" t="s">
        <v>135</v>
      </c>
      <c r="K25" s="19" t="s">
        <v>136</v>
      </c>
      <c r="L25" s="19" t="s">
        <v>126</v>
      </c>
      <c r="N25" s="20"/>
    </row>
    <row r="26" spans="3:14" ht="15.6">
      <c r="C26" s="18">
        <v>23</v>
      </c>
      <c r="D26" s="18" t="s">
        <v>169</v>
      </c>
      <c r="E26" s="19" t="s">
        <v>165</v>
      </c>
      <c r="F26" s="19" t="s">
        <v>166</v>
      </c>
      <c r="G26" s="19" t="s">
        <v>121</v>
      </c>
      <c r="H26" s="19" t="s">
        <v>167</v>
      </c>
      <c r="I26" s="19" t="s">
        <v>168</v>
      </c>
      <c r="J26" s="19" t="s">
        <v>135</v>
      </c>
      <c r="K26" s="19" t="s">
        <v>136</v>
      </c>
      <c r="L26" s="19" t="s">
        <v>126</v>
      </c>
      <c r="N26" s="20"/>
    </row>
    <row r="27" spans="3:14" ht="15.6">
      <c r="C27" s="18">
        <v>24</v>
      </c>
      <c r="D27" s="18" t="s">
        <v>170</v>
      </c>
      <c r="E27" s="19" t="s">
        <v>171</v>
      </c>
      <c r="F27" s="19" t="s">
        <v>172</v>
      </c>
      <c r="G27" s="19" t="s">
        <v>121</v>
      </c>
      <c r="H27" s="19" t="s">
        <v>79</v>
      </c>
      <c r="I27" s="19" t="s">
        <v>173</v>
      </c>
      <c r="J27" s="19" t="s">
        <v>135</v>
      </c>
      <c r="K27" s="19" t="s">
        <v>136</v>
      </c>
      <c r="L27" s="19" t="s">
        <v>126</v>
      </c>
      <c r="N27" s="20"/>
    </row>
    <row r="28" spans="3:14" ht="15.6">
      <c r="C28" s="18">
        <v>25</v>
      </c>
      <c r="D28" s="18" t="s">
        <v>174</v>
      </c>
      <c r="E28" s="19" t="s">
        <v>128</v>
      </c>
      <c r="F28" s="19" t="s">
        <v>175</v>
      </c>
      <c r="G28" s="19" t="s">
        <v>176</v>
      </c>
      <c r="H28" s="19" t="s">
        <v>122</v>
      </c>
      <c r="I28" s="19" t="s">
        <v>177</v>
      </c>
      <c r="J28" s="19" t="s">
        <v>135</v>
      </c>
      <c r="K28" s="19" t="s">
        <v>136</v>
      </c>
      <c r="L28" s="19" t="s">
        <v>126</v>
      </c>
      <c r="N28" s="20"/>
    </row>
    <row r="29" spans="3:14" ht="15.6">
      <c r="C29" s="18">
        <v>26</v>
      </c>
      <c r="D29" s="18" t="s">
        <v>178</v>
      </c>
      <c r="E29" s="19" t="s">
        <v>128</v>
      </c>
      <c r="F29" s="19" t="s">
        <v>175</v>
      </c>
      <c r="G29" s="19" t="s">
        <v>179</v>
      </c>
      <c r="H29" s="19" t="s">
        <v>122</v>
      </c>
      <c r="I29" s="19" t="s">
        <v>177</v>
      </c>
      <c r="J29" s="19" t="s">
        <v>135</v>
      </c>
      <c r="K29" s="19" t="s">
        <v>136</v>
      </c>
      <c r="L29" s="19" t="s">
        <v>126</v>
      </c>
      <c r="N29" s="20"/>
    </row>
    <row r="30" spans="3:14" ht="15.6">
      <c r="C30" s="18">
        <v>27</v>
      </c>
      <c r="D30" s="18" t="s">
        <v>180</v>
      </c>
      <c r="E30" s="19" t="s">
        <v>68</v>
      </c>
      <c r="F30" s="19" t="s">
        <v>139</v>
      </c>
      <c r="G30" s="19" t="s">
        <v>121</v>
      </c>
      <c r="H30" s="19" t="s">
        <v>157</v>
      </c>
      <c r="I30" s="19" t="s">
        <v>181</v>
      </c>
      <c r="J30" s="19" t="s">
        <v>135</v>
      </c>
      <c r="K30" s="19" t="s">
        <v>136</v>
      </c>
      <c r="L30" s="19" t="s">
        <v>126</v>
      </c>
      <c r="N30" s="20"/>
    </row>
    <row r="31" spans="3:14" ht="15.6">
      <c r="C31" s="18">
        <v>28</v>
      </c>
      <c r="D31" s="18" t="s">
        <v>180</v>
      </c>
      <c r="E31" s="19" t="s">
        <v>68</v>
      </c>
      <c r="F31" s="19" t="s">
        <v>139</v>
      </c>
      <c r="G31" s="19" t="s">
        <v>121</v>
      </c>
      <c r="H31" s="19" t="s">
        <v>157</v>
      </c>
      <c r="I31" s="19" t="s">
        <v>181</v>
      </c>
      <c r="J31" s="19" t="s">
        <v>135</v>
      </c>
      <c r="K31" s="19" t="s">
        <v>136</v>
      </c>
      <c r="L31" s="19" t="s">
        <v>131</v>
      </c>
      <c r="N31" s="20"/>
    </row>
    <row r="32" spans="3:14" ht="15.6">
      <c r="C32" s="18">
        <v>29</v>
      </c>
      <c r="D32" s="18" t="s">
        <v>182</v>
      </c>
      <c r="E32" s="19" t="s">
        <v>68</v>
      </c>
      <c r="F32" s="19" t="s">
        <v>139</v>
      </c>
      <c r="G32" s="19" t="s">
        <v>121</v>
      </c>
      <c r="H32" s="19" t="s">
        <v>157</v>
      </c>
      <c r="I32" s="19" t="s">
        <v>183</v>
      </c>
      <c r="J32" s="19" t="s">
        <v>135</v>
      </c>
      <c r="K32" s="19" t="s">
        <v>136</v>
      </c>
      <c r="L32" s="19" t="s">
        <v>126</v>
      </c>
      <c r="N32" s="20"/>
    </row>
    <row r="33" spans="3:14" ht="15.6">
      <c r="C33" s="18">
        <v>30</v>
      </c>
      <c r="D33" s="18" t="s">
        <v>182</v>
      </c>
      <c r="E33" s="19" t="s">
        <v>68</v>
      </c>
      <c r="F33" s="19" t="s">
        <v>139</v>
      </c>
      <c r="G33" s="19" t="s">
        <v>121</v>
      </c>
      <c r="H33" s="19" t="s">
        <v>157</v>
      </c>
      <c r="I33" s="19" t="s">
        <v>183</v>
      </c>
      <c r="J33" s="19" t="s">
        <v>135</v>
      </c>
      <c r="K33" s="19" t="s">
        <v>136</v>
      </c>
      <c r="L33" s="19" t="s">
        <v>131</v>
      </c>
      <c r="N3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A131-17EF-4B27-A4F5-F35282834588}">
  <dimension ref="A1:C94"/>
  <sheetViews>
    <sheetView zoomScale="105" workbookViewId="0">
      <selection activeCell="J74" sqref="J74"/>
    </sheetView>
  </sheetViews>
  <sheetFormatPr defaultRowHeight="14.4"/>
  <cols>
    <col min="1" max="1" width="26.44140625" bestFit="1" customWidth="1"/>
    <col min="2" max="2" width="18.6640625" bestFit="1" customWidth="1"/>
    <col min="3" max="3" width="10.6640625" bestFit="1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/>
      <c r="C2" s="4"/>
    </row>
    <row r="3" spans="1:3">
      <c r="A3" s="5" t="s">
        <v>4</v>
      </c>
      <c r="B3" s="4" t="s">
        <v>5</v>
      </c>
      <c r="C3" s="4" t="s">
        <v>6</v>
      </c>
    </row>
    <row r="4" spans="1:3">
      <c r="A4" s="5" t="s">
        <v>7</v>
      </c>
      <c r="B4" s="4" t="s">
        <v>5</v>
      </c>
      <c r="C4" s="4" t="s">
        <v>6</v>
      </c>
    </row>
    <row r="5" spans="1:3">
      <c r="A5" s="5" t="s">
        <v>8</v>
      </c>
      <c r="B5" s="4" t="s">
        <v>5</v>
      </c>
      <c r="C5" s="4" t="s">
        <v>6</v>
      </c>
    </row>
    <row r="6" spans="1:3">
      <c r="A6" s="5" t="s">
        <v>9</v>
      </c>
      <c r="B6" s="4" t="s">
        <v>5</v>
      </c>
      <c r="C6" s="4" t="s">
        <v>6</v>
      </c>
    </row>
    <row r="7" spans="1:3">
      <c r="A7" s="5" t="s">
        <v>10</v>
      </c>
      <c r="B7" s="4" t="s">
        <v>5</v>
      </c>
      <c r="C7" s="4" t="s">
        <v>6</v>
      </c>
    </row>
    <row r="8" spans="1:3">
      <c r="A8" s="5" t="s">
        <v>11</v>
      </c>
      <c r="B8" s="4" t="s">
        <v>5</v>
      </c>
      <c r="C8" s="4" t="s">
        <v>6</v>
      </c>
    </row>
    <row r="9" spans="1:3">
      <c r="A9" s="5" t="s">
        <v>12</v>
      </c>
      <c r="B9" s="4" t="s">
        <v>5</v>
      </c>
      <c r="C9" s="4" t="s">
        <v>6</v>
      </c>
    </row>
    <row r="10" spans="1:3">
      <c r="A10" s="5" t="s">
        <v>13</v>
      </c>
      <c r="B10" s="4" t="s">
        <v>5</v>
      </c>
      <c r="C10" s="4" t="s">
        <v>6</v>
      </c>
    </row>
    <row r="11" spans="1:3">
      <c r="A11" s="5" t="s">
        <v>14</v>
      </c>
      <c r="B11" s="4" t="s">
        <v>5</v>
      </c>
      <c r="C11" s="4" t="s">
        <v>6</v>
      </c>
    </row>
    <row r="12" spans="1:3">
      <c r="A12" s="6" t="s">
        <v>15</v>
      </c>
      <c r="B12" s="4" t="s">
        <v>5</v>
      </c>
      <c r="C12" s="4" t="s">
        <v>16</v>
      </c>
    </row>
    <row r="13" spans="1:3">
      <c r="A13" s="3" t="s">
        <v>17</v>
      </c>
      <c r="B13" s="4"/>
      <c r="C13" s="4"/>
    </row>
    <row r="14" spans="1:3">
      <c r="A14" s="5" t="s">
        <v>18</v>
      </c>
      <c r="B14" s="4" t="s">
        <v>5</v>
      </c>
      <c r="C14" s="4" t="s">
        <v>6</v>
      </c>
    </row>
    <row r="15" spans="1:3">
      <c r="A15" s="5" t="s">
        <v>19</v>
      </c>
      <c r="B15" s="4" t="s">
        <v>5</v>
      </c>
      <c r="C15" s="4" t="s">
        <v>6</v>
      </c>
    </row>
    <row r="16" spans="1:3">
      <c r="A16" s="5" t="s">
        <v>20</v>
      </c>
      <c r="B16" s="4" t="s">
        <v>5</v>
      </c>
      <c r="C16" s="4" t="s">
        <v>6</v>
      </c>
    </row>
    <row r="17" spans="1:3">
      <c r="A17" s="5" t="s">
        <v>21</v>
      </c>
      <c r="B17" s="4" t="s">
        <v>5</v>
      </c>
      <c r="C17" s="4" t="s">
        <v>6</v>
      </c>
    </row>
    <row r="18" spans="1:3">
      <c r="A18" s="5" t="s">
        <v>22</v>
      </c>
      <c r="B18" s="4" t="s">
        <v>5</v>
      </c>
      <c r="C18" s="4" t="s">
        <v>6</v>
      </c>
    </row>
    <row r="19" spans="1:3">
      <c r="A19" s="5" t="s">
        <v>23</v>
      </c>
      <c r="B19" s="4" t="s">
        <v>5</v>
      </c>
      <c r="C19" s="4" t="s">
        <v>6</v>
      </c>
    </row>
    <row r="20" spans="1:3">
      <c r="A20" s="5" t="s">
        <v>24</v>
      </c>
      <c r="B20" s="4" t="s">
        <v>5</v>
      </c>
      <c r="C20" s="4" t="s">
        <v>6</v>
      </c>
    </row>
    <row r="21" spans="1:3">
      <c r="A21" s="5" t="s">
        <v>25</v>
      </c>
      <c r="B21" s="4" t="s">
        <v>5</v>
      </c>
      <c r="C21" s="4" t="s">
        <v>6</v>
      </c>
    </row>
    <row r="22" spans="1:3">
      <c r="A22" s="5" t="s">
        <v>26</v>
      </c>
      <c r="B22" s="4" t="s">
        <v>5</v>
      </c>
      <c r="C22" s="4" t="s">
        <v>6</v>
      </c>
    </row>
    <row r="23" spans="1:3">
      <c r="A23" s="5" t="s">
        <v>27</v>
      </c>
      <c r="B23" s="4" t="s">
        <v>5</v>
      </c>
      <c r="C23" s="4" t="s">
        <v>6</v>
      </c>
    </row>
    <row r="24" spans="1:3">
      <c r="A24" s="5" t="s">
        <v>28</v>
      </c>
      <c r="B24" s="4" t="s">
        <v>5</v>
      </c>
      <c r="C24" s="4" t="s">
        <v>6</v>
      </c>
    </row>
    <row r="25" spans="1:3">
      <c r="A25" s="5" t="s">
        <v>29</v>
      </c>
      <c r="B25" s="4" t="s">
        <v>5</v>
      </c>
      <c r="C25" s="4" t="s">
        <v>6</v>
      </c>
    </row>
    <row r="26" spans="1:3">
      <c r="A26" s="5" t="s">
        <v>30</v>
      </c>
      <c r="B26" s="4" t="s">
        <v>5</v>
      </c>
      <c r="C26" s="4" t="s">
        <v>6</v>
      </c>
    </row>
    <row r="27" spans="1:3">
      <c r="A27" s="5" t="s">
        <v>31</v>
      </c>
      <c r="B27" s="4" t="s">
        <v>5</v>
      </c>
      <c r="C27" s="4" t="s">
        <v>6</v>
      </c>
    </row>
    <row r="28" spans="1:3">
      <c r="A28" s="5" t="s">
        <v>32</v>
      </c>
      <c r="B28" s="4" t="s">
        <v>5</v>
      </c>
      <c r="C28" s="4" t="s">
        <v>6</v>
      </c>
    </row>
    <row r="29" spans="1:3">
      <c r="A29" s="5" t="s">
        <v>33</v>
      </c>
      <c r="B29" s="4" t="s">
        <v>5</v>
      </c>
      <c r="C29" s="4" t="s">
        <v>6</v>
      </c>
    </row>
    <row r="30" spans="1:3">
      <c r="A30" s="5" t="s">
        <v>34</v>
      </c>
      <c r="B30" s="4" t="s">
        <v>5</v>
      </c>
      <c r="C30" s="4" t="s">
        <v>6</v>
      </c>
    </row>
    <row r="31" spans="1:3">
      <c r="A31" s="5" t="s">
        <v>35</v>
      </c>
      <c r="B31" s="4" t="s">
        <v>5</v>
      </c>
      <c r="C31" s="4" t="s">
        <v>6</v>
      </c>
    </row>
    <row r="32" spans="1:3">
      <c r="A32" s="6" t="s">
        <v>36</v>
      </c>
      <c r="B32" s="4" t="s">
        <v>5</v>
      </c>
      <c r="C32" s="4" t="s">
        <v>16</v>
      </c>
    </row>
    <row r="33" spans="1:3">
      <c r="A33" s="6" t="s">
        <v>37</v>
      </c>
      <c r="B33" s="4" t="s">
        <v>5</v>
      </c>
      <c r="C33" s="4" t="s">
        <v>16</v>
      </c>
    </row>
    <row r="34" spans="1:3">
      <c r="A34" s="3" t="s">
        <v>38</v>
      </c>
      <c r="B34" s="4"/>
      <c r="C34" s="4"/>
    </row>
    <row r="35" spans="1:3">
      <c r="A35" s="7" t="s">
        <v>39</v>
      </c>
      <c r="B35" s="4" t="s">
        <v>5</v>
      </c>
      <c r="C35" s="4" t="s">
        <v>16</v>
      </c>
    </row>
    <row r="36" spans="1:3">
      <c r="A36" s="7" t="s">
        <v>40</v>
      </c>
      <c r="B36" s="4" t="s">
        <v>5</v>
      </c>
      <c r="C36" s="4" t="s">
        <v>16</v>
      </c>
    </row>
    <row r="37" spans="1:3">
      <c r="A37" s="7" t="s">
        <v>41</v>
      </c>
      <c r="B37" s="4" t="s">
        <v>5</v>
      </c>
      <c r="C37" s="4" t="s">
        <v>16</v>
      </c>
    </row>
    <row r="38" spans="1:3">
      <c r="A38" s="5" t="s">
        <v>42</v>
      </c>
      <c r="B38" s="4" t="s">
        <v>38</v>
      </c>
      <c r="C38" s="4" t="s">
        <v>6</v>
      </c>
    </row>
    <row r="39" spans="1:3">
      <c r="A39" s="5" t="s">
        <v>43</v>
      </c>
      <c r="B39" s="4" t="s">
        <v>38</v>
      </c>
      <c r="C39" s="4" t="s">
        <v>6</v>
      </c>
    </row>
    <row r="40" spans="1:3">
      <c r="A40" s="5" t="s">
        <v>44</v>
      </c>
      <c r="B40" s="4" t="s">
        <v>38</v>
      </c>
      <c r="C40" s="4" t="s">
        <v>6</v>
      </c>
    </row>
    <row r="41" spans="1:3">
      <c r="A41" s="5" t="s">
        <v>45</v>
      </c>
      <c r="B41" s="4" t="s">
        <v>38</v>
      </c>
      <c r="C41" s="4" t="s">
        <v>16</v>
      </c>
    </row>
    <row r="42" spans="1:3">
      <c r="A42" s="3" t="s">
        <v>46</v>
      </c>
      <c r="B42" s="4"/>
      <c r="C42" s="4"/>
    </row>
    <row r="43" spans="1:3">
      <c r="A43" s="7" t="s">
        <v>47</v>
      </c>
      <c r="B43" s="8" t="s">
        <v>48</v>
      </c>
      <c r="C43" s="8" t="s">
        <v>16</v>
      </c>
    </row>
    <row r="44" spans="1:3">
      <c r="A44" s="7" t="s">
        <v>49</v>
      </c>
      <c r="B44" s="8" t="s">
        <v>48</v>
      </c>
      <c r="C44" s="8" t="s">
        <v>16</v>
      </c>
    </row>
    <row r="45" spans="1:3">
      <c r="A45" s="3" t="s">
        <v>50</v>
      </c>
      <c r="B45" s="4"/>
      <c r="C45" s="4"/>
    </row>
    <row r="46" spans="1:3">
      <c r="A46" s="5" t="s">
        <v>51</v>
      </c>
      <c r="B46" s="4" t="s">
        <v>5</v>
      </c>
      <c r="C46" s="4" t="s">
        <v>6</v>
      </c>
    </row>
    <row r="47" spans="1:3">
      <c r="A47" s="5" t="s">
        <v>52</v>
      </c>
      <c r="B47" s="4" t="s">
        <v>5</v>
      </c>
      <c r="C47" s="4" t="s">
        <v>6</v>
      </c>
    </row>
    <row r="48" spans="1:3">
      <c r="A48" s="5" t="s">
        <v>53</v>
      </c>
      <c r="B48" s="4" t="s">
        <v>5</v>
      </c>
      <c r="C48" s="4" t="s">
        <v>6</v>
      </c>
    </row>
    <row r="49" spans="1:3">
      <c r="A49" s="5" t="s">
        <v>54</v>
      </c>
      <c r="B49" s="4" t="s">
        <v>5</v>
      </c>
      <c r="C49" s="4" t="s">
        <v>6</v>
      </c>
    </row>
    <row r="50" spans="1:3">
      <c r="A50" s="5" t="s">
        <v>55</v>
      </c>
      <c r="B50" s="4" t="s">
        <v>5</v>
      </c>
      <c r="C50" s="4" t="s">
        <v>6</v>
      </c>
    </row>
    <row r="51" spans="1:3">
      <c r="A51" s="5" t="s">
        <v>56</v>
      </c>
      <c r="B51" s="4" t="s">
        <v>5</v>
      </c>
      <c r="C51" s="4" t="s">
        <v>6</v>
      </c>
    </row>
    <row r="52" spans="1:3">
      <c r="A52" s="6" t="s">
        <v>57</v>
      </c>
      <c r="B52" s="4" t="s">
        <v>5</v>
      </c>
      <c r="C52" s="4" t="s">
        <v>16</v>
      </c>
    </row>
    <row r="53" spans="1:3">
      <c r="A53" s="6" t="s">
        <v>58</v>
      </c>
      <c r="B53" s="4" t="s">
        <v>5</v>
      </c>
      <c r="C53" s="4" t="s">
        <v>16</v>
      </c>
    </row>
    <row r="54" spans="1:3">
      <c r="A54" s="9" t="s">
        <v>59</v>
      </c>
      <c r="B54" s="4" t="s">
        <v>5</v>
      </c>
      <c r="C54" s="4" t="s">
        <v>16</v>
      </c>
    </row>
    <row r="55" spans="1:3">
      <c r="A55" s="9" t="s">
        <v>60</v>
      </c>
      <c r="B55" s="4" t="s">
        <v>5</v>
      </c>
      <c r="C55" s="4" t="s">
        <v>16</v>
      </c>
    </row>
    <row r="56" spans="1:3">
      <c r="A56" s="6" t="s">
        <v>61</v>
      </c>
      <c r="B56" s="4" t="s">
        <v>48</v>
      </c>
      <c r="C56" s="8" t="s">
        <v>16</v>
      </c>
    </row>
    <row r="57" spans="1:3">
      <c r="A57" s="6" t="s">
        <v>62</v>
      </c>
      <c r="B57" s="4" t="s">
        <v>48</v>
      </c>
      <c r="C57" s="8" t="s">
        <v>16</v>
      </c>
    </row>
    <row r="58" spans="1:3">
      <c r="A58" s="6" t="s">
        <v>63</v>
      </c>
      <c r="B58" s="4" t="s">
        <v>48</v>
      </c>
      <c r="C58" s="8" t="s">
        <v>16</v>
      </c>
    </row>
    <row r="59" spans="1:3">
      <c r="A59" s="6" t="s">
        <v>64</v>
      </c>
      <c r="B59" s="4" t="s">
        <v>48</v>
      </c>
      <c r="C59" s="8" t="s">
        <v>16</v>
      </c>
    </row>
    <row r="60" spans="1:3">
      <c r="A60" s="5" t="s">
        <v>65</v>
      </c>
      <c r="B60" s="4" t="s">
        <v>5</v>
      </c>
      <c r="C60" s="4" t="s">
        <v>6</v>
      </c>
    </row>
    <row r="61" spans="1:3">
      <c r="A61" s="3" t="s">
        <v>66</v>
      </c>
      <c r="B61" s="4"/>
      <c r="C61" s="4"/>
    </row>
    <row r="62" spans="1:3">
      <c r="A62" s="6" t="s">
        <v>67</v>
      </c>
      <c r="B62" s="4" t="s">
        <v>68</v>
      </c>
      <c r="C62" s="8" t="s">
        <v>16</v>
      </c>
    </row>
    <row r="63" spans="1:3">
      <c r="A63" s="6" t="s">
        <v>69</v>
      </c>
      <c r="B63" s="4" t="s">
        <v>68</v>
      </c>
      <c r="C63" s="8" t="s">
        <v>16</v>
      </c>
    </row>
    <row r="64" spans="1:3">
      <c r="A64" s="6" t="s">
        <v>70</v>
      </c>
      <c r="B64" s="4" t="s">
        <v>68</v>
      </c>
      <c r="C64" s="8" t="s">
        <v>16</v>
      </c>
    </row>
    <row r="65" spans="1:3">
      <c r="A65" s="6" t="s">
        <v>71</v>
      </c>
      <c r="B65" s="4" t="s">
        <v>5</v>
      </c>
      <c r="C65" s="8" t="s">
        <v>16</v>
      </c>
    </row>
    <row r="66" spans="1:3">
      <c r="A66" s="6" t="s">
        <v>72</v>
      </c>
      <c r="B66" s="4" t="s">
        <v>5</v>
      </c>
      <c r="C66" s="8" t="s">
        <v>16</v>
      </c>
    </row>
    <row r="67" spans="1:3">
      <c r="A67" s="6" t="s">
        <v>73</v>
      </c>
      <c r="B67" s="4" t="s">
        <v>5</v>
      </c>
      <c r="C67" s="8" t="s">
        <v>16</v>
      </c>
    </row>
    <row r="68" spans="1:3">
      <c r="A68" s="6" t="s">
        <v>74</v>
      </c>
      <c r="B68" s="4" t="s">
        <v>5</v>
      </c>
      <c r="C68" s="8" t="s">
        <v>16</v>
      </c>
    </row>
    <row r="69" spans="1:3">
      <c r="A69" s="6" t="s">
        <v>75</v>
      </c>
      <c r="B69" s="4" t="s">
        <v>5</v>
      </c>
      <c r="C69" s="8" t="s">
        <v>16</v>
      </c>
    </row>
    <row r="70" spans="1:3">
      <c r="A70" s="6" t="s">
        <v>76</v>
      </c>
      <c r="B70" s="4" t="s">
        <v>5</v>
      </c>
      <c r="C70" s="8" t="s">
        <v>16</v>
      </c>
    </row>
    <row r="71" spans="1:3">
      <c r="A71" s="6" t="s">
        <v>77</v>
      </c>
      <c r="B71" s="4" t="s">
        <v>5</v>
      </c>
      <c r="C71" s="8" t="s">
        <v>16</v>
      </c>
    </row>
    <row r="72" spans="1:3">
      <c r="A72" s="3" t="s">
        <v>78</v>
      </c>
      <c r="B72" s="4"/>
      <c r="C72" s="4"/>
    </row>
    <row r="73" spans="1:3">
      <c r="A73" s="11" t="s">
        <v>79</v>
      </c>
      <c r="B73" s="12" t="s">
        <v>48</v>
      </c>
      <c r="C73" s="13" t="s">
        <v>16</v>
      </c>
    </row>
    <row r="74" spans="1:3">
      <c r="A74" s="11" t="s">
        <v>80</v>
      </c>
      <c r="B74" s="12" t="s">
        <v>5</v>
      </c>
      <c r="C74" s="12" t="s">
        <v>6</v>
      </c>
    </row>
    <row r="75" spans="1:3">
      <c r="A75" s="11" t="s">
        <v>81</v>
      </c>
      <c r="B75" s="12" t="s">
        <v>48</v>
      </c>
      <c r="C75" s="13" t="s">
        <v>16</v>
      </c>
    </row>
    <row r="76" spans="1:3">
      <c r="A76" s="11" t="s">
        <v>82</v>
      </c>
      <c r="B76" s="12" t="s">
        <v>48</v>
      </c>
      <c r="C76" s="13" t="s">
        <v>16</v>
      </c>
    </row>
    <row r="77" spans="1:3">
      <c r="A77" s="11" t="s">
        <v>83</v>
      </c>
      <c r="B77" s="12" t="s">
        <v>48</v>
      </c>
      <c r="C77" s="13" t="s">
        <v>16</v>
      </c>
    </row>
    <row r="78" spans="1:3">
      <c r="A78" s="11" t="s">
        <v>84</v>
      </c>
      <c r="B78" s="12" t="s">
        <v>48</v>
      </c>
      <c r="C78" s="13" t="s">
        <v>16</v>
      </c>
    </row>
    <row r="79" spans="1:3">
      <c r="A79" s="6" t="s">
        <v>85</v>
      </c>
      <c r="B79" s="4" t="s">
        <v>48</v>
      </c>
      <c r="C79" s="8" t="s">
        <v>16</v>
      </c>
    </row>
    <row r="80" spans="1:3">
      <c r="A80" s="11" t="s">
        <v>86</v>
      </c>
      <c r="B80" s="12" t="s">
        <v>48</v>
      </c>
      <c r="C80" s="13" t="s">
        <v>16</v>
      </c>
    </row>
    <row r="81" spans="1:3">
      <c r="A81" s="11" t="s">
        <v>87</v>
      </c>
      <c r="B81" s="12" t="s">
        <v>48</v>
      </c>
      <c r="C81" s="13" t="s">
        <v>16</v>
      </c>
    </row>
    <row r="82" spans="1:3">
      <c r="A82" s="11" t="s">
        <v>88</v>
      </c>
      <c r="B82" s="12" t="s">
        <v>48</v>
      </c>
      <c r="C82" s="13" t="s">
        <v>16</v>
      </c>
    </row>
    <row r="83" spans="1:3">
      <c r="A83" s="11" t="s">
        <v>89</v>
      </c>
      <c r="B83" s="12" t="s">
        <v>90</v>
      </c>
      <c r="C83" s="13" t="s">
        <v>16</v>
      </c>
    </row>
    <row r="84" spans="1:3">
      <c r="A84" s="11" t="s">
        <v>91</v>
      </c>
      <c r="B84" s="12" t="s">
        <v>48</v>
      </c>
      <c r="C84" s="13" t="s">
        <v>16</v>
      </c>
    </row>
    <row r="85" spans="1:3">
      <c r="A85" s="3" t="s">
        <v>92</v>
      </c>
      <c r="B85" s="4"/>
      <c r="C85" s="4"/>
    </row>
    <row r="86" spans="1:3">
      <c r="A86" s="11" t="s">
        <v>93</v>
      </c>
      <c r="B86" s="12" t="s">
        <v>48</v>
      </c>
      <c r="C86" s="13" t="s">
        <v>16</v>
      </c>
    </row>
    <row r="87" spans="1:3">
      <c r="A87" s="11" t="s">
        <v>94</v>
      </c>
      <c r="B87" s="12" t="s">
        <v>48</v>
      </c>
      <c r="C87" s="13" t="s">
        <v>16</v>
      </c>
    </row>
    <row r="88" spans="1:3">
      <c r="A88" s="11" t="s">
        <v>95</v>
      </c>
      <c r="B88" s="12" t="s">
        <v>48</v>
      </c>
      <c r="C88" s="13" t="s">
        <v>16</v>
      </c>
    </row>
    <row r="89" spans="1:3">
      <c r="A89" s="11" t="s">
        <v>96</v>
      </c>
      <c r="B89" s="12" t="s">
        <v>48</v>
      </c>
      <c r="C89" s="13" t="s">
        <v>16</v>
      </c>
    </row>
    <row r="90" spans="1:3">
      <c r="A90" s="14" t="s">
        <v>97</v>
      </c>
      <c r="B90" s="12" t="s">
        <v>48</v>
      </c>
      <c r="C90" s="13" t="s">
        <v>16</v>
      </c>
    </row>
    <row r="91" spans="1:3">
      <c r="A91" s="10" t="s">
        <v>98</v>
      </c>
      <c r="B91" s="4"/>
      <c r="C91" s="8"/>
    </row>
    <row r="92" spans="1:3">
      <c r="A92" s="15" t="s">
        <v>99</v>
      </c>
      <c r="B92" s="13" t="s">
        <v>48</v>
      </c>
      <c r="C92" s="13" t="s">
        <v>16</v>
      </c>
    </row>
    <row r="93" spans="1:3">
      <c r="A93" s="15" t="s">
        <v>100</v>
      </c>
      <c r="B93" s="13" t="s">
        <v>48</v>
      </c>
      <c r="C93" s="13" t="s">
        <v>16</v>
      </c>
    </row>
    <row r="94" spans="1:3">
      <c r="A94" s="7" t="s">
        <v>101</v>
      </c>
      <c r="B94" s="4" t="s">
        <v>5</v>
      </c>
      <c r="C94" s="4" t="s">
        <v>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FDCD-A494-45BF-B074-6C5D3C034901}">
  <dimension ref="A1:H94"/>
  <sheetViews>
    <sheetView topLeftCell="A52" workbookViewId="0">
      <selection activeCell="H64" sqref="H64:H65"/>
    </sheetView>
  </sheetViews>
  <sheetFormatPr defaultRowHeight="14.4"/>
  <cols>
    <col min="1" max="1" width="26.44140625" bestFit="1" customWidth="1"/>
    <col min="2" max="2" width="18.6640625" bestFit="1" customWidth="1"/>
    <col min="3" max="3" width="10.6640625" bestFit="1" customWidth="1"/>
    <col min="6" max="6" width="14.109375" bestFit="1" customWidth="1"/>
    <col min="7" max="7" width="18.6640625" bestFit="1" customWidth="1"/>
    <col min="8" max="8" width="40.5546875" bestFit="1" customWidth="1"/>
  </cols>
  <sheetData>
    <row r="1" spans="1:8">
      <c r="A1" s="1" t="s">
        <v>0</v>
      </c>
      <c r="B1" s="2" t="s">
        <v>1</v>
      </c>
      <c r="C1" s="2" t="s">
        <v>2</v>
      </c>
      <c r="F1" s="21" t="s">
        <v>0</v>
      </c>
      <c r="G1" s="2" t="s">
        <v>1</v>
      </c>
      <c r="H1" s="2" t="s">
        <v>186</v>
      </c>
    </row>
    <row r="2" spans="1:8">
      <c r="A2" s="3" t="s">
        <v>3</v>
      </c>
      <c r="B2" s="4"/>
      <c r="C2" s="4"/>
      <c r="F2" s="22" t="s">
        <v>4</v>
      </c>
      <c r="G2" s="23" t="s">
        <v>128</v>
      </c>
      <c r="H2" s="23" t="str">
        <f>"Kategori material "&amp;F2&amp;" = "&amp;G2</f>
        <v>Kategori material YK30 = Alloy Steel</v>
      </c>
    </row>
    <row r="3" spans="1:8">
      <c r="A3" s="5" t="s">
        <v>4</v>
      </c>
      <c r="B3" s="4" t="s">
        <v>128</v>
      </c>
      <c r="C3" s="4" t="s">
        <v>6</v>
      </c>
      <c r="F3" s="22" t="s">
        <v>7</v>
      </c>
      <c r="G3" s="23" t="s">
        <v>128</v>
      </c>
      <c r="H3" s="23" t="str">
        <f t="shared" ref="H3:H63" si="0">"Kategori material "&amp;F3&amp;" = "&amp;G3</f>
        <v>Kategori material YK4 = Alloy Steel</v>
      </c>
    </row>
    <row r="4" spans="1:8">
      <c r="A4" s="5" t="s">
        <v>7</v>
      </c>
      <c r="B4" s="4" t="s">
        <v>128</v>
      </c>
      <c r="C4" s="4" t="s">
        <v>6</v>
      </c>
      <c r="F4" s="22" t="s">
        <v>8</v>
      </c>
      <c r="G4" s="23" t="s">
        <v>128</v>
      </c>
      <c r="H4" s="23" t="str">
        <f t="shared" si="0"/>
        <v>Kategori material GOA = Alloy Steel</v>
      </c>
    </row>
    <row r="5" spans="1:8">
      <c r="A5" s="5" t="s">
        <v>8</v>
      </c>
      <c r="B5" s="4" t="s">
        <v>128</v>
      </c>
      <c r="C5" s="4" t="s">
        <v>6</v>
      </c>
      <c r="F5" s="22" t="s">
        <v>9</v>
      </c>
      <c r="G5" s="23" t="s">
        <v>128</v>
      </c>
      <c r="H5" s="23" t="str">
        <f t="shared" si="0"/>
        <v>Kategori material GO40F = Alloy Steel</v>
      </c>
    </row>
    <row r="6" spans="1:8">
      <c r="A6" s="5" t="s">
        <v>9</v>
      </c>
      <c r="B6" s="4" t="s">
        <v>128</v>
      </c>
      <c r="C6" s="4" t="s">
        <v>6</v>
      </c>
      <c r="F6" s="22" t="s">
        <v>10</v>
      </c>
      <c r="G6" s="23" t="s">
        <v>128</v>
      </c>
      <c r="H6" s="23" t="str">
        <f t="shared" si="0"/>
        <v>Kategori material GO5 = Alloy Steel</v>
      </c>
    </row>
    <row r="7" spans="1:8">
      <c r="A7" s="5" t="s">
        <v>10</v>
      </c>
      <c r="B7" s="4" t="s">
        <v>128</v>
      </c>
      <c r="C7" s="4" t="s">
        <v>6</v>
      </c>
      <c r="F7" s="22" t="s">
        <v>11</v>
      </c>
      <c r="G7" s="23" t="s">
        <v>128</v>
      </c>
      <c r="H7" s="23" t="str">
        <f t="shared" si="0"/>
        <v>Kategori material GO4 = Alloy Steel</v>
      </c>
    </row>
    <row r="8" spans="1:8">
      <c r="A8" s="5" t="s">
        <v>11</v>
      </c>
      <c r="B8" s="4" t="s">
        <v>128</v>
      </c>
      <c r="C8" s="4" t="s">
        <v>6</v>
      </c>
      <c r="F8" s="22" t="s">
        <v>12</v>
      </c>
      <c r="G8" s="23" t="s">
        <v>128</v>
      </c>
      <c r="H8" s="23" t="str">
        <f t="shared" si="0"/>
        <v>Kategori material DC11 = Alloy Steel</v>
      </c>
    </row>
    <row r="9" spans="1:8">
      <c r="A9" s="5" t="s">
        <v>12</v>
      </c>
      <c r="B9" s="4" t="s">
        <v>128</v>
      </c>
      <c r="C9" s="4" t="s">
        <v>6</v>
      </c>
      <c r="F9" s="22" t="s">
        <v>13</v>
      </c>
      <c r="G9" s="23" t="s">
        <v>128</v>
      </c>
      <c r="H9" s="23" t="str">
        <f t="shared" si="0"/>
        <v>Kategori material DC53 = Alloy Steel</v>
      </c>
    </row>
    <row r="10" spans="1:8">
      <c r="A10" s="5" t="s">
        <v>13</v>
      </c>
      <c r="B10" s="4" t="s">
        <v>128</v>
      </c>
      <c r="C10" s="4" t="s">
        <v>6</v>
      </c>
      <c r="F10" s="22" t="s">
        <v>14</v>
      </c>
      <c r="G10" s="23" t="s">
        <v>128</v>
      </c>
      <c r="H10" s="23" t="str">
        <f t="shared" si="0"/>
        <v>Kategori material DCMX = Alloy Steel</v>
      </c>
    </row>
    <row r="11" spans="1:8">
      <c r="A11" s="5" t="s">
        <v>14</v>
      </c>
      <c r="B11" s="4" t="s">
        <v>128</v>
      </c>
      <c r="C11" s="4" t="s">
        <v>6</v>
      </c>
      <c r="F11" s="22" t="s">
        <v>15</v>
      </c>
      <c r="G11" s="23" t="s">
        <v>128</v>
      </c>
      <c r="H11" s="23" t="str">
        <f t="shared" si="0"/>
        <v>Kategori material SKD11 = Alloy Steel</v>
      </c>
    </row>
    <row r="12" spans="1:8">
      <c r="A12" s="6" t="s">
        <v>15</v>
      </c>
      <c r="B12" s="4" t="s">
        <v>128</v>
      </c>
      <c r="C12" s="4" t="s">
        <v>16</v>
      </c>
      <c r="F12" s="22" t="s">
        <v>18</v>
      </c>
      <c r="G12" s="23" t="s">
        <v>128</v>
      </c>
      <c r="H12" s="23" t="str">
        <f t="shared" si="0"/>
        <v>Kategori material GFA = Alloy Steel</v>
      </c>
    </row>
    <row r="13" spans="1:8">
      <c r="A13" s="3" t="s">
        <v>17</v>
      </c>
      <c r="B13" s="4"/>
      <c r="C13" s="4"/>
      <c r="F13" s="22" t="s">
        <v>19</v>
      </c>
      <c r="G13" s="23" t="s">
        <v>128</v>
      </c>
      <c r="H13" s="23" t="str">
        <f t="shared" si="0"/>
        <v>Kategori material DH32 = Alloy Steel</v>
      </c>
    </row>
    <row r="14" spans="1:8">
      <c r="A14" s="5" t="s">
        <v>18</v>
      </c>
      <c r="B14" s="4" t="s">
        <v>128</v>
      </c>
      <c r="C14" s="4" t="s">
        <v>6</v>
      </c>
      <c r="F14" s="22" t="s">
        <v>20</v>
      </c>
      <c r="G14" s="23" t="s">
        <v>128</v>
      </c>
      <c r="H14" s="23" t="str">
        <f t="shared" si="0"/>
        <v>Kategori material DH62 = Alloy Steel</v>
      </c>
    </row>
    <row r="15" spans="1:8">
      <c r="A15" s="5" t="s">
        <v>19</v>
      </c>
      <c r="B15" s="4" t="s">
        <v>128</v>
      </c>
      <c r="C15" s="4" t="s">
        <v>6</v>
      </c>
      <c r="F15" s="22" t="s">
        <v>21</v>
      </c>
      <c r="G15" s="23" t="s">
        <v>128</v>
      </c>
      <c r="H15" s="23" t="str">
        <f t="shared" si="0"/>
        <v>Kategori material DHA = Alloy Steel</v>
      </c>
    </row>
    <row r="16" spans="1:8">
      <c r="A16" s="5" t="s">
        <v>20</v>
      </c>
      <c r="B16" s="4" t="s">
        <v>128</v>
      </c>
      <c r="C16" s="4" t="s">
        <v>6</v>
      </c>
      <c r="F16" s="22" t="s">
        <v>22</v>
      </c>
      <c r="G16" s="23" t="s">
        <v>128</v>
      </c>
      <c r="H16" s="23" t="str">
        <f t="shared" si="0"/>
        <v>Kategori material DHA1 = Alloy Steel</v>
      </c>
    </row>
    <row r="17" spans="1:8">
      <c r="A17" s="5" t="s">
        <v>21</v>
      </c>
      <c r="B17" s="4" t="s">
        <v>128</v>
      </c>
      <c r="C17" s="4" t="s">
        <v>6</v>
      </c>
      <c r="F17" s="22" t="s">
        <v>23</v>
      </c>
      <c r="G17" s="23" t="s">
        <v>128</v>
      </c>
      <c r="H17" s="23" t="str">
        <f t="shared" si="0"/>
        <v>Kategori material DHAW = Alloy Steel</v>
      </c>
    </row>
    <row r="18" spans="1:8">
      <c r="A18" s="5" t="s">
        <v>22</v>
      </c>
      <c r="B18" s="4" t="s">
        <v>128</v>
      </c>
      <c r="C18" s="4" t="s">
        <v>6</v>
      </c>
      <c r="F18" s="22" t="s">
        <v>24</v>
      </c>
      <c r="G18" s="23" t="s">
        <v>128</v>
      </c>
      <c r="H18" s="23" t="str">
        <f t="shared" si="0"/>
        <v>Kategori material DH31EX = Alloy Steel</v>
      </c>
    </row>
    <row r="19" spans="1:8">
      <c r="A19" s="5" t="s">
        <v>23</v>
      </c>
      <c r="B19" s="4" t="s">
        <v>128</v>
      </c>
      <c r="C19" s="4" t="s">
        <v>6</v>
      </c>
      <c r="F19" s="22" t="s">
        <v>25</v>
      </c>
      <c r="G19" s="23" t="s">
        <v>128</v>
      </c>
      <c r="H19" s="23" t="str">
        <f t="shared" si="0"/>
        <v>Kategori material DH31S = Alloy Steel</v>
      </c>
    </row>
    <row r="20" spans="1:8">
      <c r="A20" s="5" t="s">
        <v>24</v>
      </c>
      <c r="B20" s="4" t="s">
        <v>128</v>
      </c>
      <c r="C20" s="4" t="s">
        <v>6</v>
      </c>
      <c r="F20" s="22" t="s">
        <v>26</v>
      </c>
      <c r="G20" s="23" t="s">
        <v>128</v>
      </c>
      <c r="H20" s="23" t="str">
        <f t="shared" si="0"/>
        <v>Kategori material DHAT = Alloy Steel</v>
      </c>
    </row>
    <row r="21" spans="1:8">
      <c r="A21" s="5" t="s">
        <v>25</v>
      </c>
      <c r="B21" s="4" t="s">
        <v>128</v>
      </c>
      <c r="C21" s="4" t="s">
        <v>6</v>
      </c>
      <c r="F21" s="22" t="s">
        <v>27</v>
      </c>
      <c r="G21" s="23" t="s">
        <v>128</v>
      </c>
      <c r="H21" s="23" t="str">
        <f t="shared" si="0"/>
        <v>Kategori material DHA1A = Alloy Steel</v>
      </c>
    </row>
    <row r="22" spans="1:8">
      <c r="A22" s="5" t="s">
        <v>26</v>
      </c>
      <c r="B22" s="4" t="s">
        <v>128</v>
      </c>
      <c r="C22" s="4" t="s">
        <v>6</v>
      </c>
      <c r="F22" s="22" t="s">
        <v>28</v>
      </c>
      <c r="G22" s="23" t="s">
        <v>128</v>
      </c>
      <c r="H22" s="23" t="str">
        <f t="shared" si="0"/>
        <v>Kategori material DH2F = Alloy Steel</v>
      </c>
    </row>
    <row r="23" spans="1:8">
      <c r="A23" s="5" t="s">
        <v>27</v>
      </c>
      <c r="B23" s="4" t="s">
        <v>128</v>
      </c>
      <c r="C23" s="4" t="s">
        <v>6</v>
      </c>
      <c r="F23" s="22" t="s">
        <v>29</v>
      </c>
      <c r="G23" s="23" t="s">
        <v>128</v>
      </c>
      <c r="H23" s="23" t="str">
        <f t="shared" si="0"/>
        <v>Kategori material DHA1ES = Alloy Steel</v>
      </c>
    </row>
    <row r="24" spans="1:8">
      <c r="A24" s="5" t="s">
        <v>28</v>
      </c>
      <c r="B24" s="4" t="s">
        <v>128</v>
      </c>
      <c r="C24" s="4" t="s">
        <v>6</v>
      </c>
      <c r="F24" s="22" t="s">
        <v>30</v>
      </c>
      <c r="G24" s="23" t="s">
        <v>128</v>
      </c>
      <c r="H24" s="23" t="str">
        <f t="shared" si="0"/>
        <v>Kategori material CND = Alloy Steel</v>
      </c>
    </row>
    <row r="25" spans="1:8">
      <c r="A25" s="5" t="s">
        <v>29</v>
      </c>
      <c r="B25" s="4" t="s">
        <v>128</v>
      </c>
      <c r="C25" s="4" t="s">
        <v>6</v>
      </c>
      <c r="F25" s="22" t="s">
        <v>31</v>
      </c>
      <c r="G25" s="23" t="s">
        <v>128</v>
      </c>
      <c r="H25" s="23" t="str">
        <f t="shared" si="0"/>
        <v>Kategori material DHA1E = Alloy Steel</v>
      </c>
    </row>
    <row r="26" spans="1:8">
      <c r="A26" s="5" t="s">
        <v>30</v>
      </c>
      <c r="B26" s="4" t="s">
        <v>128</v>
      </c>
      <c r="C26" s="4" t="s">
        <v>6</v>
      </c>
      <c r="F26" s="22" t="s">
        <v>32</v>
      </c>
      <c r="G26" s="23" t="s">
        <v>128</v>
      </c>
      <c r="H26" s="23" t="str">
        <f t="shared" si="0"/>
        <v>Kategori material DH31 = Alloy Steel</v>
      </c>
    </row>
    <row r="27" spans="1:8">
      <c r="A27" s="5" t="s">
        <v>31</v>
      </c>
      <c r="B27" s="4" t="s">
        <v>128</v>
      </c>
      <c r="C27" s="4" t="s">
        <v>6</v>
      </c>
      <c r="F27" s="22" t="s">
        <v>33</v>
      </c>
      <c r="G27" s="23" t="s">
        <v>128</v>
      </c>
      <c r="H27" s="23" t="str">
        <f t="shared" si="0"/>
        <v>Kategori material DH31S2 = Alloy Steel</v>
      </c>
    </row>
    <row r="28" spans="1:8">
      <c r="A28" s="5" t="s">
        <v>32</v>
      </c>
      <c r="B28" s="4" t="s">
        <v>128</v>
      </c>
      <c r="C28" s="4" t="s">
        <v>6</v>
      </c>
      <c r="F28" s="22" t="s">
        <v>34</v>
      </c>
      <c r="G28" s="23" t="s">
        <v>128</v>
      </c>
      <c r="H28" s="23" t="str">
        <f t="shared" si="0"/>
        <v>Kategori material DHAC = Alloy Steel</v>
      </c>
    </row>
    <row r="29" spans="1:8">
      <c r="A29" s="5" t="s">
        <v>33</v>
      </c>
      <c r="B29" s="4" t="s">
        <v>128</v>
      </c>
      <c r="C29" s="4" t="s">
        <v>6</v>
      </c>
      <c r="F29" s="22" t="s">
        <v>35</v>
      </c>
      <c r="G29" s="23" t="s">
        <v>128</v>
      </c>
      <c r="H29" s="23" t="str">
        <f t="shared" si="0"/>
        <v>Kategori material RT90 = Alloy Steel</v>
      </c>
    </row>
    <row r="30" spans="1:8">
      <c r="A30" s="5" t="s">
        <v>34</v>
      </c>
      <c r="B30" s="4" t="s">
        <v>128</v>
      </c>
      <c r="C30" s="4" t="s">
        <v>6</v>
      </c>
      <c r="F30" s="22" t="s">
        <v>36</v>
      </c>
      <c r="G30" s="23" t="s">
        <v>128</v>
      </c>
      <c r="H30" s="23" t="str">
        <f t="shared" si="0"/>
        <v>Kategori material SKT4 = Alloy Steel</v>
      </c>
    </row>
    <row r="31" spans="1:8">
      <c r="A31" s="5" t="s">
        <v>35</v>
      </c>
      <c r="B31" s="4" t="s">
        <v>128</v>
      </c>
      <c r="C31" s="4" t="s">
        <v>6</v>
      </c>
      <c r="F31" s="22" t="s">
        <v>37</v>
      </c>
      <c r="G31" s="23" t="s">
        <v>128</v>
      </c>
      <c r="H31" s="23" t="str">
        <f t="shared" si="0"/>
        <v>Kategori material SKD61 = Alloy Steel</v>
      </c>
    </row>
    <row r="32" spans="1:8">
      <c r="A32" s="6" t="s">
        <v>36</v>
      </c>
      <c r="B32" s="4" t="s">
        <v>128</v>
      </c>
      <c r="C32" s="4" t="s">
        <v>16</v>
      </c>
      <c r="F32" s="22" t="s">
        <v>39</v>
      </c>
      <c r="G32" s="23" t="s">
        <v>128</v>
      </c>
      <c r="H32" s="23" t="str">
        <f t="shared" si="0"/>
        <v>Kategori material MH51 = Alloy Steel</v>
      </c>
    </row>
    <row r="33" spans="1:8">
      <c r="A33" s="6" t="s">
        <v>37</v>
      </c>
      <c r="B33" s="4" t="s">
        <v>128</v>
      </c>
      <c r="C33" s="4" t="s">
        <v>16</v>
      </c>
      <c r="F33" s="22" t="s">
        <v>40</v>
      </c>
      <c r="G33" s="23" t="s">
        <v>128</v>
      </c>
      <c r="H33" s="23" t="str">
        <f t="shared" si="0"/>
        <v>Kategori material MH55 = Alloy Steel</v>
      </c>
    </row>
    <row r="34" spans="1:8">
      <c r="A34" s="3" t="s">
        <v>38</v>
      </c>
      <c r="B34" s="4"/>
      <c r="C34" s="4"/>
      <c r="F34" s="22" t="s">
        <v>41</v>
      </c>
      <c r="G34" s="23" t="s">
        <v>128</v>
      </c>
      <c r="H34" s="23" t="str">
        <f t="shared" si="0"/>
        <v>Kategori material MH85 = Alloy Steel</v>
      </c>
    </row>
    <row r="35" spans="1:8">
      <c r="A35" s="7" t="s">
        <v>39</v>
      </c>
      <c r="B35" s="4" t="s">
        <v>128</v>
      </c>
      <c r="C35" s="4" t="s">
        <v>16</v>
      </c>
      <c r="F35" s="22" t="s">
        <v>42</v>
      </c>
      <c r="G35" s="23" t="s">
        <v>38</v>
      </c>
      <c r="H35" s="23" t="str">
        <f t="shared" si="0"/>
        <v>Kategori material DRM1 = High Speed Tool Steel</v>
      </c>
    </row>
    <row r="36" spans="1:8">
      <c r="A36" s="7" t="s">
        <v>40</v>
      </c>
      <c r="B36" s="4" t="s">
        <v>128</v>
      </c>
      <c r="C36" s="4" t="s">
        <v>16</v>
      </c>
      <c r="F36" s="22" t="s">
        <v>43</v>
      </c>
      <c r="G36" s="23" t="s">
        <v>38</v>
      </c>
      <c r="H36" s="23" t="str">
        <f t="shared" si="0"/>
        <v>Kategori material DRM2 = High Speed Tool Steel</v>
      </c>
    </row>
    <row r="37" spans="1:8">
      <c r="A37" s="7" t="s">
        <v>41</v>
      </c>
      <c r="B37" s="4" t="s">
        <v>128</v>
      </c>
      <c r="C37" s="4" t="s">
        <v>16</v>
      </c>
      <c r="F37" s="22" t="s">
        <v>44</v>
      </c>
      <c r="G37" s="23" t="s">
        <v>38</v>
      </c>
      <c r="H37" s="23" t="str">
        <f t="shared" si="0"/>
        <v>Kategori material DRM3 = High Speed Tool Steel</v>
      </c>
    </row>
    <row r="38" spans="1:8">
      <c r="A38" s="5" t="s">
        <v>42</v>
      </c>
      <c r="B38" s="4" t="s">
        <v>38</v>
      </c>
      <c r="C38" s="4" t="s">
        <v>6</v>
      </c>
      <c r="F38" s="22" t="s">
        <v>45</v>
      </c>
      <c r="G38" s="23" t="s">
        <v>38</v>
      </c>
      <c r="H38" s="23" t="str">
        <f t="shared" si="0"/>
        <v>Kategori material SKH9 = High Speed Tool Steel</v>
      </c>
    </row>
    <row r="39" spans="1:8">
      <c r="A39" s="5" t="s">
        <v>43</v>
      </c>
      <c r="B39" s="4" t="s">
        <v>38</v>
      </c>
      <c r="C39" s="4" t="s">
        <v>6</v>
      </c>
      <c r="F39" s="22" t="s">
        <v>51</v>
      </c>
      <c r="G39" s="23" t="s">
        <v>128</v>
      </c>
      <c r="H39" s="23" t="str">
        <f t="shared" si="0"/>
        <v>Kategori material PX4 = Alloy Steel</v>
      </c>
    </row>
    <row r="40" spans="1:8">
      <c r="A40" s="5" t="s">
        <v>44</v>
      </c>
      <c r="B40" s="4" t="s">
        <v>38</v>
      </c>
      <c r="C40" s="4" t="s">
        <v>6</v>
      </c>
      <c r="F40" s="22" t="s">
        <v>52</v>
      </c>
      <c r="G40" s="23" t="s">
        <v>128</v>
      </c>
      <c r="H40" s="23" t="str">
        <f t="shared" si="0"/>
        <v>Kategori material PAC5000 = Alloy Steel</v>
      </c>
    </row>
    <row r="41" spans="1:8">
      <c r="A41" s="5" t="s">
        <v>45</v>
      </c>
      <c r="B41" s="4" t="s">
        <v>38</v>
      </c>
      <c r="C41" s="4" t="s">
        <v>16</v>
      </c>
      <c r="F41" s="22" t="s">
        <v>53</v>
      </c>
      <c r="G41" s="23" t="s">
        <v>128</v>
      </c>
      <c r="H41" s="23" t="str">
        <f t="shared" si="0"/>
        <v>Kategori material NAK80 = Alloy Steel</v>
      </c>
    </row>
    <row r="42" spans="1:8">
      <c r="A42" s="3" t="s">
        <v>46</v>
      </c>
      <c r="B42" s="4"/>
      <c r="C42" s="4"/>
      <c r="F42" s="22" t="s">
        <v>54</v>
      </c>
      <c r="G42" s="23" t="s">
        <v>128</v>
      </c>
      <c r="H42" s="23" t="str">
        <f t="shared" si="0"/>
        <v>Kategori material S-Star = Alloy Steel</v>
      </c>
    </row>
    <row r="43" spans="1:8">
      <c r="A43" s="7" t="s">
        <v>47</v>
      </c>
      <c r="B43" s="8" t="s">
        <v>48</v>
      </c>
      <c r="C43" s="8" t="s">
        <v>16</v>
      </c>
      <c r="F43" s="22" t="s">
        <v>55</v>
      </c>
      <c r="G43" s="23" t="s">
        <v>128</v>
      </c>
      <c r="H43" s="23" t="str">
        <f t="shared" si="0"/>
        <v>Kategori material PX5 = Alloy Steel</v>
      </c>
    </row>
    <row r="44" spans="1:8">
      <c r="A44" s="7" t="s">
        <v>49</v>
      </c>
      <c r="B44" s="8" t="s">
        <v>48</v>
      </c>
      <c r="C44" s="8" t="s">
        <v>16</v>
      </c>
      <c r="F44" s="22" t="s">
        <v>56</v>
      </c>
      <c r="G44" s="23" t="s">
        <v>128</v>
      </c>
      <c r="H44" s="23" t="str">
        <f t="shared" si="0"/>
        <v>Kategori material PXA30 = Alloy Steel</v>
      </c>
    </row>
    <row r="45" spans="1:8">
      <c r="A45" s="3" t="s">
        <v>50</v>
      </c>
      <c r="B45" s="4"/>
      <c r="C45" s="4"/>
      <c r="F45" s="22" t="s">
        <v>57</v>
      </c>
      <c r="G45" s="23" t="s">
        <v>128</v>
      </c>
      <c r="H45" s="23" t="str">
        <f t="shared" si="0"/>
        <v>Kategori material HP4MA = Alloy Steel</v>
      </c>
    </row>
    <row r="46" spans="1:8">
      <c r="A46" s="5" t="s">
        <v>51</v>
      </c>
      <c r="B46" s="4" t="s">
        <v>128</v>
      </c>
      <c r="C46" s="4" t="s">
        <v>6</v>
      </c>
      <c r="F46" s="22" t="s">
        <v>58</v>
      </c>
      <c r="G46" s="23" t="s">
        <v>128</v>
      </c>
      <c r="H46" s="23" t="str">
        <f t="shared" si="0"/>
        <v>Kategori material P20 = Alloy Steel</v>
      </c>
    </row>
    <row r="47" spans="1:8">
      <c r="A47" s="5" t="s">
        <v>52</v>
      </c>
      <c r="B47" s="4" t="s">
        <v>128</v>
      </c>
      <c r="C47" s="4" t="s">
        <v>6</v>
      </c>
      <c r="F47" s="22" t="s">
        <v>59</v>
      </c>
      <c r="G47" s="23" t="s">
        <v>128</v>
      </c>
      <c r="H47" s="23" t="str">
        <f t="shared" si="0"/>
        <v>Kategori material 1.2316 = Alloy Steel</v>
      </c>
    </row>
    <row r="48" spans="1:8">
      <c r="A48" s="5" t="s">
        <v>53</v>
      </c>
      <c r="B48" s="4" t="s">
        <v>128</v>
      </c>
      <c r="C48" s="4" t="s">
        <v>6</v>
      </c>
      <c r="F48" s="22" t="s">
        <v>60</v>
      </c>
      <c r="G48" s="23" t="s">
        <v>128</v>
      </c>
      <c r="H48" s="23" t="str">
        <f t="shared" si="0"/>
        <v>Kategori material 1.2738 = Alloy Steel</v>
      </c>
    </row>
    <row r="49" spans="1:8">
      <c r="A49" s="5" t="s">
        <v>54</v>
      </c>
      <c r="B49" s="4" t="s">
        <v>128</v>
      </c>
      <c r="C49" s="4" t="s">
        <v>6</v>
      </c>
      <c r="F49" s="22" t="s">
        <v>61</v>
      </c>
      <c r="G49" s="23" t="s">
        <v>48</v>
      </c>
      <c r="H49" s="23" t="str">
        <f t="shared" si="0"/>
        <v>Kategori material Aluminium 7075 = Other</v>
      </c>
    </row>
    <row r="50" spans="1:8">
      <c r="A50" s="5" t="s">
        <v>55</v>
      </c>
      <c r="B50" s="4" t="s">
        <v>128</v>
      </c>
      <c r="C50" s="4" t="s">
        <v>6</v>
      </c>
      <c r="F50" s="22" t="s">
        <v>62</v>
      </c>
      <c r="G50" s="23" t="s">
        <v>48</v>
      </c>
      <c r="H50" s="23" t="str">
        <f t="shared" si="0"/>
        <v>Kategori material Aluminium 6061 = Other</v>
      </c>
    </row>
    <row r="51" spans="1:8">
      <c r="A51" s="5" t="s">
        <v>56</v>
      </c>
      <c r="B51" s="4" t="s">
        <v>128</v>
      </c>
      <c r="C51" s="4" t="s">
        <v>6</v>
      </c>
      <c r="F51" s="22" t="s">
        <v>63</v>
      </c>
      <c r="G51" s="23" t="s">
        <v>48</v>
      </c>
      <c r="H51" s="23" t="str">
        <f t="shared" si="0"/>
        <v>Kategori material Aluminium 5052 = Other</v>
      </c>
    </row>
    <row r="52" spans="1:8">
      <c r="A52" s="6" t="s">
        <v>57</v>
      </c>
      <c r="B52" s="4" t="s">
        <v>128</v>
      </c>
      <c r="C52" s="4" t="s">
        <v>16</v>
      </c>
      <c r="F52" s="22" t="s">
        <v>64</v>
      </c>
      <c r="G52" s="23" t="s">
        <v>48</v>
      </c>
      <c r="H52" s="23" t="str">
        <f t="shared" si="0"/>
        <v>Kategori material Aluminium 1100 = Other</v>
      </c>
    </row>
    <row r="53" spans="1:8">
      <c r="A53" s="6" t="s">
        <v>58</v>
      </c>
      <c r="B53" s="4" t="s">
        <v>128</v>
      </c>
      <c r="C53" s="4" t="s">
        <v>16</v>
      </c>
      <c r="F53" s="22" t="s">
        <v>65</v>
      </c>
      <c r="G53" s="23" t="s">
        <v>128</v>
      </c>
      <c r="H53" s="23" t="str">
        <f t="shared" si="0"/>
        <v>Kategori material SPD86K = Alloy Steel</v>
      </c>
    </row>
    <row r="54" spans="1:8">
      <c r="A54" s="9" t="s">
        <v>59</v>
      </c>
      <c r="B54" s="4" t="s">
        <v>128</v>
      </c>
      <c r="C54" s="4" t="s">
        <v>16</v>
      </c>
      <c r="F54" s="22" t="s">
        <v>67</v>
      </c>
      <c r="G54" s="23" t="s">
        <v>68</v>
      </c>
      <c r="H54" s="23" t="str">
        <f t="shared" si="0"/>
        <v>Kategori material S45C = Carbon Steel</v>
      </c>
    </row>
    <row r="55" spans="1:8">
      <c r="A55" s="9" t="s">
        <v>60</v>
      </c>
      <c r="B55" s="4" t="s">
        <v>128</v>
      </c>
      <c r="C55" s="4" t="s">
        <v>16</v>
      </c>
      <c r="F55" s="22" t="s">
        <v>69</v>
      </c>
      <c r="G55" s="23" t="s">
        <v>68</v>
      </c>
      <c r="H55" s="23" t="str">
        <f t="shared" si="0"/>
        <v>Kategori material S50C = Carbon Steel</v>
      </c>
    </row>
    <row r="56" spans="1:8">
      <c r="A56" s="6" t="s">
        <v>61</v>
      </c>
      <c r="B56" s="4" t="s">
        <v>48</v>
      </c>
      <c r="C56" s="8" t="s">
        <v>16</v>
      </c>
      <c r="F56" s="22" t="s">
        <v>70</v>
      </c>
      <c r="G56" s="23" t="s">
        <v>68</v>
      </c>
      <c r="H56" s="23" t="str">
        <f t="shared" si="0"/>
        <v>Kategori material S55C = Carbon Steel</v>
      </c>
    </row>
    <row r="57" spans="1:8">
      <c r="A57" s="6" t="s">
        <v>62</v>
      </c>
      <c r="B57" s="4" t="s">
        <v>48</v>
      </c>
      <c r="C57" s="8" t="s">
        <v>16</v>
      </c>
      <c r="F57" s="22" t="s">
        <v>71</v>
      </c>
      <c r="G57" s="23" t="s">
        <v>128</v>
      </c>
      <c r="H57" s="23" t="str">
        <f t="shared" si="0"/>
        <v>Kategori material SCM447 = Alloy Steel</v>
      </c>
    </row>
    <row r="58" spans="1:8">
      <c r="A58" s="6" t="s">
        <v>63</v>
      </c>
      <c r="B58" s="4" t="s">
        <v>48</v>
      </c>
      <c r="C58" s="8" t="s">
        <v>16</v>
      </c>
      <c r="F58" s="22" t="s">
        <v>72</v>
      </c>
      <c r="G58" s="23" t="s">
        <v>128</v>
      </c>
      <c r="H58" s="23" t="str">
        <f t="shared" si="0"/>
        <v>Kategori material SCM440H = Alloy Steel</v>
      </c>
    </row>
    <row r="59" spans="1:8">
      <c r="A59" s="6" t="s">
        <v>64</v>
      </c>
      <c r="B59" s="4" t="s">
        <v>48</v>
      </c>
      <c r="C59" s="8" t="s">
        <v>16</v>
      </c>
      <c r="F59" s="22" t="s">
        <v>73</v>
      </c>
      <c r="G59" s="23" t="s">
        <v>128</v>
      </c>
      <c r="H59" s="23" t="str">
        <f t="shared" si="0"/>
        <v>Kategori material SNCM439 = Alloy Steel</v>
      </c>
    </row>
    <row r="60" spans="1:8">
      <c r="A60" s="5" t="s">
        <v>65</v>
      </c>
      <c r="B60" s="4" t="s">
        <v>128</v>
      </c>
      <c r="C60" s="4" t="s">
        <v>6</v>
      </c>
      <c r="F60" s="22" t="s">
        <v>74</v>
      </c>
      <c r="G60" s="23" t="s">
        <v>128</v>
      </c>
      <c r="H60" s="23" t="str">
        <f t="shared" si="0"/>
        <v>Kategori material SNCM447 = Alloy Steel</v>
      </c>
    </row>
    <row r="61" spans="1:8">
      <c r="A61" s="3" t="s">
        <v>66</v>
      </c>
      <c r="B61" s="4"/>
      <c r="C61" s="4"/>
      <c r="F61" s="22" t="s">
        <v>75</v>
      </c>
      <c r="G61" s="23" t="s">
        <v>128</v>
      </c>
      <c r="H61" s="23" t="str">
        <f t="shared" si="0"/>
        <v>Kategori material SCM440Q = Alloy Steel</v>
      </c>
    </row>
    <row r="62" spans="1:8">
      <c r="A62" s="6" t="s">
        <v>67</v>
      </c>
      <c r="B62" s="4" t="s">
        <v>68</v>
      </c>
      <c r="C62" s="8" t="s">
        <v>16</v>
      </c>
      <c r="F62" s="22" t="s">
        <v>76</v>
      </c>
      <c r="G62" s="23" t="s">
        <v>128</v>
      </c>
      <c r="H62" s="23" t="str">
        <f t="shared" si="0"/>
        <v>Kategori material SCM440 = Alloy Steel</v>
      </c>
    </row>
    <row r="63" spans="1:8">
      <c r="A63" s="6" t="s">
        <v>69</v>
      </c>
      <c r="B63" s="4" t="s">
        <v>68</v>
      </c>
      <c r="C63" s="8" t="s">
        <v>16</v>
      </c>
      <c r="F63" s="22" t="s">
        <v>77</v>
      </c>
      <c r="G63" s="23" t="s">
        <v>128</v>
      </c>
      <c r="H63" s="23" t="str">
        <f t="shared" si="0"/>
        <v>Kategori material SNCM439Q = Alloy Steel</v>
      </c>
    </row>
    <row r="64" spans="1:8" ht="15.6">
      <c r="A64" s="6" t="s">
        <v>70</v>
      </c>
      <c r="B64" s="4" t="s">
        <v>68</v>
      </c>
      <c r="C64" s="8" t="s">
        <v>16</v>
      </c>
      <c r="F64" s="22" t="s">
        <v>89</v>
      </c>
      <c r="G64" s="19" t="s">
        <v>165</v>
      </c>
      <c r="H64" s="23" t="str">
        <f t="shared" ref="H64:H65" si="1">"Kategori material "&amp;F64&amp;" = "&amp;G64</f>
        <v>Kategori material ST52 = Honed Tube Steel</v>
      </c>
    </row>
    <row r="65" spans="1:8">
      <c r="A65" s="6" t="s">
        <v>71</v>
      </c>
      <c r="B65" s="4" t="s">
        <v>128</v>
      </c>
      <c r="C65" s="8" t="s">
        <v>16</v>
      </c>
      <c r="F65" s="22" t="s">
        <v>101</v>
      </c>
      <c r="G65" s="23" t="s">
        <v>128</v>
      </c>
      <c r="H65" s="23" t="str">
        <f t="shared" si="1"/>
        <v>Kategori material YXM1 = Alloy Steel</v>
      </c>
    </row>
    <row r="66" spans="1:8">
      <c r="A66" s="6" t="s">
        <v>72</v>
      </c>
      <c r="B66" s="4" t="s">
        <v>128</v>
      </c>
      <c r="C66" s="8" t="s">
        <v>16</v>
      </c>
    </row>
    <row r="67" spans="1:8">
      <c r="A67" s="6" t="s">
        <v>73</v>
      </c>
      <c r="B67" s="4" t="s">
        <v>128</v>
      </c>
      <c r="C67" s="8" t="s">
        <v>16</v>
      </c>
    </row>
    <row r="68" spans="1:8">
      <c r="A68" s="6" t="s">
        <v>74</v>
      </c>
      <c r="B68" s="4" t="s">
        <v>128</v>
      </c>
      <c r="C68" s="8" t="s">
        <v>16</v>
      </c>
    </row>
    <row r="69" spans="1:8">
      <c r="A69" s="6" t="s">
        <v>75</v>
      </c>
      <c r="B69" s="4" t="s">
        <v>128</v>
      </c>
      <c r="C69" s="8" t="s">
        <v>16</v>
      </c>
    </row>
    <row r="70" spans="1:8">
      <c r="A70" s="6" t="s">
        <v>76</v>
      </c>
      <c r="B70" s="4" t="s">
        <v>128</v>
      </c>
      <c r="C70" s="8" t="s">
        <v>16</v>
      </c>
    </row>
    <row r="71" spans="1:8">
      <c r="A71" s="6" t="s">
        <v>77</v>
      </c>
      <c r="B71" s="4" t="s">
        <v>128</v>
      </c>
      <c r="C71" s="8" t="s">
        <v>16</v>
      </c>
    </row>
    <row r="72" spans="1:8">
      <c r="A72" s="3" t="s">
        <v>78</v>
      </c>
      <c r="B72" s="4"/>
      <c r="C72" s="4"/>
    </row>
    <row r="73" spans="1:8">
      <c r="A73" s="11" t="s">
        <v>79</v>
      </c>
      <c r="B73" s="12" t="s">
        <v>48</v>
      </c>
      <c r="C73" s="13" t="s">
        <v>16</v>
      </c>
    </row>
    <row r="74" spans="1:8">
      <c r="A74" s="11" t="s">
        <v>80</v>
      </c>
      <c r="B74" s="12" t="s">
        <v>5</v>
      </c>
      <c r="C74" s="12" t="s">
        <v>6</v>
      </c>
    </row>
    <row r="75" spans="1:8">
      <c r="A75" s="11" t="s">
        <v>81</v>
      </c>
      <c r="B75" s="12" t="s">
        <v>48</v>
      </c>
      <c r="C75" s="13" t="s">
        <v>16</v>
      </c>
    </row>
    <row r="76" spans="1:8">
      <c r="A76" s="11" t="s">
        <v>82</v>
      </c>
      <c r="B76" s="12" t="s">
        <v>48</v>
      </c>
      <c r="C76" s="13" t="s">
        <v>16</v>
      </c>
    </row>
    <row r="77" spans="1:8">
      <c r="A77" s="11" t="s">
        <v>83</v>
      </c>
      <c r="B77" s="12" t="s">
        <v>48</v>
      </c>
      <c r="C77" s="13" t="s">
        <v>16</v>
      </c>
    </row>
    <row r="78" spans="1:8">
      <c r="A78" s="11" t="s">
        <v>84</v>
      </c>
      <c r="B78" s="12" t="s">
        <v>48</v>
      </c>
      <c r="C78" s="13" t="s">
        <v>16</v>
      </c>
    </row>
    <row r="79" spans="1:8">
      <c r="A79" s="6" t="s">
        <v>85</v>
      </c>
      <c r="B79" s="4" t="s">
        <v>48</v>
      </c>
      <c r="C79" s="8" t="s">
        <v>16</v>
      </c>
    </row>
    <row r="80" spans="1:8">
      <c r="A80" s="11" t="s">
        <v>86</v>
      </c>
      <c r="B80" s="12" t="s">
        <v>48</v>
      </c>
      <c r="C80" s="13" t="s">
        <v>16</v>
      </c>
    </row>
    <row r="81" spans="1:3">
      <c r="A81" s="11" t="s">
        <v>87</v>
      </c>
      <c r="B81" s="12" t="s">
        <v>48</v>
      </c>
      <c r="C81" s="13" t="s">
        <v>16</v>
      </c>
    </row>
    <row r="82" spans="1:3">
      <c r="A82" s="11" t="s">
        <v>88</v>
      </c>
      <c r="B82" s="12" t="s">
        <v>48</v>
      </c>
      <c r="C82" s="13" t="s">
        <v>16</v>
      </c>
    </row>
    <row r="83" spans="1:3">
      <c r="A83" s="11" t="s">
        <v>89</v>
      </c>
      <c r="B83" s="12" t="s">
        <v>90</v>
      </c>
      <c r="C83" s="13" t="s">
        <v>16</v>
      </c>
    </row>
    <row r="84" spans="1:3">
      <c r="A84" s="11" t="s">
        <v>91</v>
      </c>
      <c r="B84" s="12" t="s">
        <v>48</v>
      </c>
      <c r="C84" s="13" t="s">
        <v>16</v>
      </c>
    </row>
    <row r="85" spans="1:3">
      <c r="A85" s="3" t="s">
        <v>92</v>
      </c>
      <c r="B85" s="4"/>
      <c r="C85" s="4"/>
    </row>
    <row r="86" spans="1:3">
      <c r="A86" s="11" t="s">
        <v>93</v>
      </c>
      <c r="B86" s="12" t="s">
        <v>48</v>
      </c>
      <c r="C86" s="13" t="s">
        <v>16</v>
      </c>
    </row>
    <row r="87" spans="1:3">
      <c r="A87" s="11" t="s">
        <v>94</v>
      </c>
      <c r="B87" s="12" t="s">
        <v>48</v>
      </c>
      <c r="C87" s="13" t="s">
        <v>16</v>
      </c>
    </row>
    <row r="88" spans="1:3">
      <c r="A88" s="11" t="s">
        <v>95</v>
      </c>
      <c r="B88" s="12" t="s">
        <v>48</v>
      </c>
      <c r="C88" s="13" t="s">
        <v>16</v>
      </c>
    </row>
    <row r="89" spans="1:3">
      <c r="A89" s="11" t="s">
        <v>96</v>
      </c>
      <c r="B89" s="12" t="s">
        <v>48</v>
      </c>
      <c r="C89" s="13" t="s">
        <v>16</v>
      </c>
    </row>
    <row r="90" spans="1:3">
      <c r="A90" s="14" t="s">
        <v>97</v>
      </c>
      <c r="B90" s="12" t="s">
        <v>48</v>
      </c>
      <c r="C90" s="13" t="s">
        <v>16</v>
      </c>
    </row>
    <row r="91" spans="1:3">
      <c r="A91" s="10" t="s">
        <v>98</v>
      </c>
      <c r="B91" s="4"/>
      <c r="C91" s="8"/>
    </row>
    <row r="92" spans="1:3">
      <c r="A92" s="15" t="s">
        <v>99</v>
      </c>
      <c r="B92" s="13" t="s">
        <v>48</v>
      </c>
      <c r="C92" s="13" t="s">
        <v>16</v>
      </c>
    </row>
    <row r="93" spans="1:3">
      <c r="A93" s="15" t="s">
        <v>100</v>
      </c>
      <c r="B93" s="13" t="s">
        <v>48</v>
      </c>
      <c r="C93" s="13" t="s">
        <v>16</v>
      </c>
    </row>
    <row r="94" spans="1:3">
      <c r="A94" s="7" t="s">
        <v>101</v>
      </c>
      <c r="B94" s="4" t="s">
        <v>5</v>
      </c>
      <c r="C94" s="4" t="s">
        <v>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D767-F89B-4C59-AA06-6C826D2AF2E0}">
  <dimension ref="C3:J33"/>
  <sheetViews>
    <sheetView tabSelected="1" zoomScale="110" zoomScaleNormal="85" workbookViewId="0">
      <selection activeCell="G4" sqref="G4"/>
    </sheetView>
  </sheetViews>
  <sheetFormatPr defaultRowHeight="14.4"/>
  <cols>
    <col min="4" max="4" width="13.88671875" customWidth="1"/>
    <col min="5" max="5" width="17.6640625" bestFit="1" customWidth="1"/>
    <col min="6" max="6" width="17.33203125" bestFit="1" customWidth="1"/>
    <col min="7" max="7" width="55.5546875" bestFit="1" customWidth="1"/>
    <col min="8" max="8" width="24.5546875" customWidth="1"/>
    <col min="10" max="10" width="134.6640625" customWidth="1"/>
  </cols>
  <sheetData>
    <row r="3" spans="3:10" ht="15.6">
      <c r="C3" s="17" t="s">
        <v>108</v>
      </c>
      <c r="D3" s="17" t="s">
        <v>109</v>
      </c>
      <c r="E3" s="17" t="s">
        <v>110</v>
      </c>
      <c r="F3" s="17" t="s">
        <v>111</v>
      </c>
      <c r="G3" s="17" t="s">
        <v>114</v>
      </c>
      <c r="J3" s="24" t="s">
        <v>186</v>
      </c>
    </row>
    <row r="4" spans="3:10" ht="15.6">
      <c r="C4" s="18">
        <v>1</v>
      </c>
      <c r="D4" s="18" t="s">
        <v>118</v>
      </c>
      <c r="E4" s="19" t="s">
        <v>119</v>
      </c>
      <c r="F4" s="19" t="s">
        <v>184</v>
      </c>
      <c r="G4" s="19" t="s">
        <v>123</v>
      </c>
      <c r="J4" s="25" t="str">
        <f>"Jika, Kategori material = "&amp;E4&amp;", Shape = "&amp;F4&amp;", Dimensi = "&amp;G4&amp;", Maka HS Code = "&amp;D4</f>
        <v>Jika, Kategori material = High Speed Steel, Shape = Round, Dimensi = Diameter ≥ 10 mm, Maka HS Code = 7228.10.10</v>
      </c>
    </row>
    <row r="5" spans="3:10" ht="15.6">
      <c r="C5" s="18">
        <v>2</v>
      </c>
      <c r="D5" s="18" t="s">
        <v>127</v>
      </c>
      <c r="E5" s="19" t="s">
        <v>128</v>
      </c>
      <c r="F5" s="19" t="s">
        <v>184</v>
      </c>
      <c r="G5" s="19" t="s">
        <v>130</v>
      </c>
      <c r="J5" s="25" t="str">
        <f t="shared" ref="J5:J33" si="0">"Jika, Kategori material = "&amp;E5&amp;", Shape = "&amp;F5&amp;", Dimensi = "&amp;G5&amp;", Maka HS Code = "&amp;D5</f>
        <v>Jika, Kategori material = Alloy Steel, Shape = Round, Dimensi = 10 mm ≤ Diameter ≤ 165 mm, Maka HS Code = 7228.30.10</v>
      </c>
    </row>
    <row r="6" spans="3:10" ht="15.6">
      <c r="C6" s="18">
        <v>3</v>
      </c>
      <c r="D6" s="18" t="s">
        <v>127</v>
      </c>
      <c r="E6" s="19" t="s">
        <v>128</v>
      </c>
      <c r="F6" s="19" t="s">
        <v>184</v>
      </c>
      <c r="G6" s="19" t="s">
        <v>130</v>
      </c>
      <c r="J6" s="25" t="str">
        <f t="shared" si="0"/>
        <v>Jika, Kategori material = Alloy Steel, Shape = Round, Dimensi = 10 mm ≤ Diameter ≤ 165 mm, Maka HS Code = 7228.30.10</v>
      </c>
    </row>
    <row r="7" spans="3:10" ht="31.2">
      <c r="C7" s="18">
        <v>4</v>
      </c>
      <c r="D7" s="18" t="s">
        <v>132</v>
      </c>
      <c r="E7" s="19" t="s">
        <v>128</v>
      </c>
      <c r="F7" s="19" t="s">
        <v>185</v>
      </c>
      <c r="G7" s="19" t="s">
        <v>134</v>
      </c>
      <c r="J7" s="25" t="str">
        <f t="shared" si="0"/>
        <v>Jika, Kategori material = Alloy Steel, Shape = Flat, Dimensi = 10 mm ≤ Thickness ≤ 135 mm; 400 mm &lt; Width &lt; 600 mm, Maka HS Code = 7226.91.90</v>
      </c>
    </row>
    <row r="8" spans="3:10" ht="31.2">
      <c r="C8" s="18">
        <v>5</v>
      </c>
      <c r="D8" s="18" t="s">
        <v>132</v>
      </c>
      <c r="E8" s="19" t="s">
        <v>128</v>
      </c>
      <c r="F8" s="19" t="s">
        <v>185</v>
      </c>
      <c r="G8" s="19" t="s">
        <v>137</v>
      </c>
      <c r="J8" s="25" t="str">
        <f t="shared" si="0"/>
        <v>Jika, Kategori material = Alloy Steel, Shape = Flat, Dimensi = 3 mm ≤ Thickness ≤ 135 mm; 400 mm &lt; Width &lt; 600 mm, Maka HS Code = 7226.91.90</v>
      </c>
    </row>
    <row r="9" spans="3:10" ht="15.6">
      <c r="C9" s="18">
        <v>6</v>
      </c>
      <c r="D9" s="18" t="s">
        <v>138</v>
      </c>
      <c r="E9" s="19" t="s">
        <v>128</v>
      </c>
      <c r="F9" s="19" t="s">
        <v>185</v>
      </c>
      <c r="G9" s="19" t="s">
        <v>141</v>
      </c>
      <c r="J9" s="25" t="str">
        <f t="shared" si="0"/>
        <v>Jika, Kategori material = Alloy Steel, Shape = Flat, Dimensi = Thickness &gt; 135 mm, Maka HS Code = 7228.40.90</v>
      </c>
    </row>
    <row r="10" spans="3:10" ht="15.6">
      <c r="C10" s="18">
        <v>7</v>
      </c>
      <c r="D10" s="18" t="s">
        <v>138</v>
      </c>
      <c r="E10" s="19" t="s">
        <v>128</v>
      </c>
      <c r="F10" s="19" t="s">
        <v>185</v>
      </c>
      <c r="G10" s="19" t="s">
        <v>141</v>
      </c>
      <c r="J10" s="25" t="str">
        <f t="shared" si="0"/>
        <v>Jika, Kategori material = Alloy Steel, Shape = Flat, Dimensi = Thickness &gt; 135 mm, Maka HS Code = 7228.40.90</v>
      </c>
    </row>
    <row r="11" spans="3:10" ht="15.6">
      <c r="C11" s="18">
        <v>8</v>
      </c>
      <c r="D11" s="18" t="s">
        <v>142</v>
      </c>
      <c r="E11" s="19" t="s">
        <v>128</v>
      </c>
      <c r="F11" s="19" t="s">
        <v>184</v>
      </c>
      <c r="G11" s="19" t="s">
        <v>143</v>
      </c>
      <c r="J11" s="25" t="str">
        <f t="shared" si="0"/>
        <v>Jika, Kategori material = Alloy Steel, Shape = Round, Dimensi = Diameter &gt; 165 mm, Maka HS Code = 7228.40.10</v>
      </c>
    </row>
    <row r="12" spans="3:10" ht="15.6">
      <c r="C12" s="18">
        <v>9</v>
      </c>
      <c r="D12" s="18" t="s">
        <v>142</v>
      </c>
      <c r="E12" s="19" t="s">
        <v>128</v>
      </c>
      <c r="F12" s="19" t="s">
        <v>184</v>
      </c>
      <c r="G12" s="19" t="s">
        <v>143</v>
      </c>
      <c r="J12" s="25" t="str">
        <f t="shared" si="0"/>
        <v>Jika, Kategori material = Alloy Steel, Shape = Round, Dimensi = Diameter &gt; 165 mm, Maka HS Code = 7228.40.10</v>
      </c>
    </row>
    <row r="13" spans="3:10" ht="15.6">
      <c r="C13" s="18">
        <v>10</v>
      </c>
      <c r="D13" s="18" t="s">
        <v>144</v>
      </c>
      <c r="E13" s="19" t="s">
        <v>128</v>
      </c>
      <c r="F13" s="19" t="s">
        <v>185</v>
      </c>
      <c r="G13" s="19" t="s">
        <v>145</v>
      </c>
      <c r="J13" s="25" t="str">
        <f t="shared" si="0"/>
        <v>Jika, Kategori material = Alloy Steel, Shape = Flat, Dimensi = 3 mm ≤ Thickness ≤ 135 mm; Width ≥ 600 mm, Maka HS Code = 7225.40.90</v>
      </c>
    </row>
    <row r="14" spans="3:10" ht="15.6">
      <c r="C14" s="18">
        <v>11</v>
      </c>
      <c r="D14" s="18" t="s">
        <v>144</v>
      </c>
      <c r="E14" s="19" t="s">
        <v>128</v>
      </c>
      <c r="F14" s="19" t="s">
        <v>185</v>
      </c>
      <c r="G14" s="19" t="s">
        <v>145</v>
      </c>
      <c r="J14" s="25" t="str">
        <f t="shared" si="0"/>
        <v>Jika, Kategori material = Alloy Steel, Shape = Flat, Dimensi = 3 mm ≤ Thickness ≤ 135 mm; Width ≥ 600 mm, Maka HS Code = 7225.40.90</v>
      </c>
    </row>
    <row r="15" spans="3:10" ht="15.6">
      <c r="C15" s="18">
        <v>12</v>
      </c>
      <c r="D15" s="18" t="s">
        <v>146</v>
      </c>
      <c r="E15" s="19" t="s">
        <v>128</v>
      </c>
      <c r="F15" s="19" t="s">
        <v>185</v>
      </c>
      <c r="G15" s="19" t="s">
        <v>147</v>
      </c>
      <c r="J15" s="25" t="str">
        <f t="shared" si="0"/>
        <v>Jika, Kategori material = Alloy Steel, Shape = Flat, Dimensi = 10 mm ≤ Thickness ≤ 135 mm; Width ≤ 150 mm, Maka HS Code = 7228.30.90</v>
      </c>
    </row>
    <row r="16" spans="3:10" ht="31.2">
      <c r="C16" s="18">
        <v>13</v>
      </c>
      <c r="D16" s="18" t="s">
        <v>148</v>
      </c>
      <c r="E16" s="19" t="s">
        <v>128</v>
      </c>
      <c r="F16" s="19" t="s">
        <v>185</v>
      </c>
      <c r="G16" s="19" t="s">
        <v>150</v>
      </c>
      <c r="J16" s="25" t="str">
        <f t="shared" si="0"/>
        <v>Jika, Kategori material = Alloy Steel, Shape = Flat, Dimensi = 3 mm ≤ Thickness ≤ 135 mm; 150 mm &lt; Width ≤ 400 mm, Maka HS Code = 7226.91.10</v>
      </c>
    </row>
    <row r="17" spans="3:10" ht="31.2">
      <c r="C17" s="18">
        <v>14</v>
      </c>
      <c r="D17" s="18" t="s">
        <v>151</v>
      </c>
      <c r="E17" s="19" t="s">
        <v>119</v>
      </c>
      <c r="F17" s="19" t="s">
        <v>185</v>
      </c>
      <c r="G17" s="19" t="s">
        <v>152</v>
      </c>
      <c r="J17" s="25" t="str">
        <f t="shared" si="0"/>
        <v>Jika, Kategori material = High Speed Steel, Shape = Flat, Dimensi = Thickness ≥ 10 mm; 150 mm &lt; Width ≤ 400 mm, Maka HS Code = 7226.20.10</v>
      </c>
    </row>
    <row r="18" spans="3:10" ht="31.2">
      <c r="C18" s="18">
        <v>15</v>
      </c>
      <c r="D18" s="18" t="s">
        <v>153</v>
      </c>
      <c r="E18" s="19" t="s">
        <v>68</v>
      </c>
      <c r="F18" s="19" t="s">
        <v>184</v>
      </c>
      <c r="G18" s="19" t="s">
        <v>155</v>
      </c>
      <c r="J18" s="25" t="str">
        <f t="shared" si="0"/>
        <v>Jika, Kategori material = Carbon Steel, Shape = Round, Dimensi = 16 mm ≤ Diameter &lt; 250 mm; Length &gt; 2000 mm, Maka HS Code = 7214.99.92</v>
      </c>
    </row>
    <row r="19" spans="3:10" ht="31.2">
      <c r="C19" s="18">
        <v>16</v>
      </c>
      <c r="D19" s="18" t="s">
        <v>153</v>
      </c>
      <c r="E19" s="19" t="s">
        <v>68</v>
      </c>
      <c r="F19" s="19" t="s">
        <v>184</v>
      </c>
      <c r="G19" s="19" t="s">
        <v>155</v>
      </c>
      <c r="J19" s="25" t="str">
        <f t="shared" si="0"/>
        <v>Jika, Kategori material = Carbon Steel, Shape = Round, Dimensi = 16 mm ≤ Diameter &lt; 250 mm; Length &gt; 2000 mm, Maka HS Code = 7214.99.92</v>
      </c>
    </row>
    <row r="20" spans="3:10" ht="15.6">
      <c r="C20" s="18">
        <v>17</v>
      </c>
      <c r="D20" s="18" t="s">
        <v>156</v>
      </c>
      <c r="E20" s="19" t="s">
        <v>68</v>
      </c>
      <c r="F20" s="19" t="s">
        <v>185</v>
      </c>
      <c r="G20" s="19" t="s">
        <v>158</v>
      </c>
      <c r="J20" s="25" t="str">
        <f t="shared" si="0"/>
        <v>Jika, Kategori material = Carbon Steel, Shape = Flat, Dimensi = Thickness &gt; 10 mm; Width &gt; 600 mm, Maka HS Code = 7208.51.00</v>
      </c>
    </row>
    <row r="21" spans="3:10" ht="15.6">
      <c r="C21" s="18">
        <v>18</v>
      </c>
      <c r="D21" s="18" t="s">
        <v>156</v>
      </c>
      <c r="E21" s="19" t="s">
        <v>68</v>
      </c>
      <c r="F21" s="19" t="s">
        <v>185</v>
      </c>
      <c r="G21" s="19" t="s">
        <v>158</v>
      </c>
      <c r="J21" s="25" t="str">
        <f t="shared" si="0"/>
        <v>Jika, Kategori material = Carbon Steel, Shape = Flat, Dimensi = Thickness &gt; 10 mm; Width &gt; 600 mm, Maka HS Code = 7208.51.00</v>
      </c>
    </row>
    <row r="22" spans="3:10" ht="15.6">
      <c r="C22" s="18">
        <v>19</v>
      </c>
      <c r="D22" s="18" t="s">
        <v>159</v>
      </c>
      <c r="E22" s="19" t="s">
        <v>68</v>
      </c>
      <c r="F22" s="19" t="s">
        <v>184</v>
      </c>
      <c r="G22" s="19" t="s">
        <v>160</v>
      </c>
      <c r="J22" s="25" t="str">
        <f t="shared" si="0"/>
        <v>Jika, Kategori material = Carbon Steel, Shape = Round, Dimensi = Diameter ≥ 250 mm; Length &gt; 2000 mm, Maka HS Code = 7214.10.11</v>
      </c>
    </row>
    <row r="23" spans="3:10" ht="15.6">
      <c r="C23" s="18">
        <v>20</v>
      </c>
      <c r="D23" s="18" t="s">
        <v>159</v>
      </c>
      <c r="E23" s="19" t="s">
        <v>68</v>
      </c>
      <c r="F23" s="19" t="s">
        <v>184</v>
      </c>
      <c r="G23" s="19" t="s">
        <v>160</v>
      </c>
      <c r="J23" s="25" t="str">
        <f t="shared" si="0"/>
        <v>Jika, Kategori material = Carbon Steel, Shape = Round, Dimensi = Diameter ≥ 250 mm; Length &gt; 2000 mm, Maka HS Code = 7214.10.11</v>
      </c>
    </row>
    <row r="24" spans="3:10" ht="15.6">
      <c r="C24" s="18">
        <v>21</v>
      </c>
      <c r="D24" s="18" t="s">
        <v>161</v>
      </c>
      <c r="E24" s="19" t="s">
        <v>68</v>
      </c>
      <c r="F24" s="19" t="s">
        <v>185</v>
      </c>
      <c r="G24" s="19" t="s">
        <v>163</v>
      </c>
      <c r="J24" s="25" t="str">
        <f t="shared" si="0"/>
        <v>Jika, Kategori material = Carbon Steel, Shape = Flat, Dimensi = Thickness ≥ 250 mm; Width &gt; 600 mm, Maka HS Code = 7214.10.19</v>
      </c>
    </row>
    <row r="25" spans="3:10" ht="31.2">
      <c r="C25" s="18">
        <v>22</v>
      </c>
      <c r="D25" s="18" t="s">
        <v>164</v>
      </c>
      <c r="E25" s="19" t="s">
        <v>165</v>
      </c>
      <c r="F25" s="19" t="s">
        <v>175</v>
      </c>
      <c r="G25" s="19" t="s">
        <v>168</v>
      </c>
      <c r="J25" s="25" t="str">
        <f t="shared" si="0"/>
        <v>Jika, Kategori material = Honed Tube Steel, Shape = Hollow, Dimensi = Outer Diameter ≥ 140 mm; Inner Diameter &gt; 50 mm, Maka HS Code = 7304.31.90</v>
      </c>
    </row>
    <row r="26" spans="3:10" ht="31.2">
      <c r="C26" s="18">
        <v>23</v>
      </c>
      <c r="D26" s="18" t="s">
        <v>169</v>
      </c>
      <c r="E26" s="19" t="s">
        <v>165</v>
      </c>
      <c r="F26" s="19" t="s">
        <v>175</v>
      </c>
      <c r="G26" s="19" t="s">
        <v>168</v>
      </c>
      <c r="J26" s="25" t="str">
        <f t="shared" si="0"/>
        <v>Jika, Kategori material = Honed Tube Steel, Shape = Hollow, Dimensi = Outer Diameter ≥ 140 mm; Inner Diameter &gt; 50 mm, Maka HS Code = 7304.31.40</v>
      </c>
    </row>
    <row r="27" spans="3:10" ht="15.6">
      <c r="C27" s="18">
        <v>24</v>
      </c>
      <c r="D27" s="18" t="s">
        <v>170</v>
      </c>
      <c r="E27" s="19" t="s">
        <v>171</v>
      </c>
      <c r="F27" s="19" t="s">
        <v>185</v>
      </c>
      <c r="G27" s="19" t="s">
        <v>173</v>
      </c>
      <c r="J27" s="25" t="str">
        <f t="shared" si="0"/>
        <v>Jika, Kategori material = Strip Steel, Shape = Flat, Dimensi = Width ≤ 400 mm, Maka HS Code = 7211.29.20</v>
      </c>
    </row>
    <row r="28" spans="3:10" ht="31.2">
      <c r="C28" s="18">
        <v>25</v>
      </c>
      <c r="D28" s="18" t="s">
        <v>174</v>
      </c>
      <c r="E28" s="19" t="s">
        <v>128</v>
      </c>
      <c r="F28" s="19" t="s">
        <v>175</v>
      </c>
      <c r="G28" s="19" t="s">
        <v>177</v>
      </c>
      <c r="J28" s="25" t="str">
        <f t="shared" si="0"/>
        <v>Jika, Kategori material = Alloy Steel, Shape = Hollow, Dimensi = Outer Diameter &gt; 165 mm; Inner Diameter &gt; 135 mm, Maka HS Code = 7304.51.90</v>
      </c>
    </row>
    <row r="29" spans="3:10" ht="31.2">
      <c r="C29" s="18">
        <v>26</v>
      </c>
      <c r="D29" s="18" t="s">
        <v>178</v>
      </c>
      <c r="E29" s="19" t="s">
        <v>128</v>
      </c>
      <c r="F29" s="19" t="s">
        <v>175</v>
      </c>
      <c r="G29" s="19" t="s">
        <v>177</v>
      </c>
      <c r="J29" s="25" t="str">
        <f t="shared" si="0"/>
        <v>Jika, Kategori material = Alloy Steel, Shape = Hollow, Dimensi = Outer Diameter &gt; 165 mm; Inner Diameter &gt; 135 mm, Maka HS Code = 7304.59.90</v>
      </c>
    </row>
    <row r="30" spans="3:10" ht="15.6">
      <c r="C30" s="18">
        <v>27</v>
      </c>
      <c r="D30" s="18" t="s">
        <v>180</v>
      </c>
      <c r="E30" s="19" t="s">
        <v>68</v>
      </c>
      <c r="F30" s="19" t="s">
        <v>185</v>
      </c>
      <c r="G30" s="19" t="s">
        <v>181</v>
      </c>
      <c r="J30" s="25" t="str">
        <f t="shared" si="0"/>
        <v>Jika, Kategori material = Carbon Steel, Shape = Flat, Dimensi = 4.75 mm ≤ Thickness ≤ 10 mm; Width &gt; 600 mm, Maka HS Code = 7208.52.00</v>
      </c>
    </row>
    <row r="31" spans="3:10" ht="15.6">
      <c r="C31" s="18">
        <v>28</v>
      </c>
      <c r="D31" s="18" t="s">
        <v>180</v>
      </c>
      <c r="E31" s="19" t="s">
        <v>68</v>
      </c>
      <c r="F31" s="19" t="s">
        <v>185</v>
      </c>
      <c r="G31" s="19" t="s">
        <v>181</v>
      </c>
      <c r="J31" s="25" t="str">
        <f t="shared" si="0"/>
        <v>Jika, Kategori material = Carbon Steel, Shape = Flat, Dimensi = 4.75 mm ≤ Thickness ≤ 10 mm; Width &gt; 600 mm, Maka HS Code = 7208.52.00</v>
      </c>
    </row>
    <row r="32" spans="3:10" ht="15.6">
      <c r="C32" s="18">
        <v>29</v>
      </c>
      <c r="D32" s="18" t="s">
        <v>182</v>
      </c>
      <c r="E32" s="19" t="s">
        <v>68</v>
      </c>
      <c r="F32" s="19" t="s">
        <v>185</v>
      </c>
      <c r="G32" s="19" t="s">
        <v>183</v>
      </c>
      <c r="J32" s="25" t="str">
        <f t="shared" si="0"/>
        <v>Jika, Kategori material = Carbon Steel, Shape = Flat, Dimensi = 3 mm ≤ Thickness &lt; 4.75 mm; Width &gt; 600 mm, Maka HS Code = 7208.53.00</v>
      </c>
    </row>
    <row r="33" spans="3:10" ht="15.6">
      <c r="C33" s="18">
        <v>30</v>
      </c>
      <c r="D33" s="18" t="s">
        <v>182</v>
      </c>
      <c r="E33" s="19" t="s">
        <v>68</v>
      </c>
      <c r="F33" s="19" t="s">
        <v>185</v>
      </c>
      <c r="G33" s="19" t="s">
        <v>183</v>
      </c>
      <c r="J33" s="25" t="str">
        <f t="shared" si="0"/>
        <v>Jika, Kategori material = Carbon Steel, Shape = Flat, Dimensi = 3 mm ≤ Thickness &lt; 4.75 mm; Width &gt; 600 mm, Maka HS Code = 7208.53.00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Sheet2</vt:lpstr>
      <vt:lpstr>Backup Kriteria</vt:lpstr>
      <vt:lpstr>backup master material</vt:lpstr>
      <vt:lpstr>master material</vt:lpstr>
      <vt:lpstr>Penentuan HS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Noor Firdaus</dc:creator>
  <cp:lastModifiedBy>Nauval Haidar</cp:lastModifiedBy>
  <dcterms:created xsi:type="dcterms:W3CDTF">2026-08-05T07:59:53Z</dcterms:created>
  <dcterms:modified xsi:type="dcterms:W3CDTF">2026-08-12T03:47:07Z</dcterms:modified>
</cp:coreProperties>
</file>